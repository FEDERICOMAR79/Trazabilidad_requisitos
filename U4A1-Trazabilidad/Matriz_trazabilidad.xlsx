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z principal" sheetId="2" state="visible" r:id="rId2"/>
    <sheet xmlns:r="http://schemas.openxmlformats.org/officeDocument/2006/relationships" name="Trazabilidad visual" sheetId="3" state="visible" r:id="rId3"/>
    <sheet xmlns:r="http://schemas.openxmlformats.org/officeDocument/2006/relationships" name="Resumen y métricas" sheetId="4" state="visible" r:id="rId4"/>
    <sheet xmlns:r="http://schemas.openxmlformats.org/officeDocument/2006/relationships" name="Registro de RFCs" sheetId="5" state="visible" r:id="rId5"/>
    <sheet xmlns:r="http://schemas.openxmlformats.org/officeDocument/2006/relationships" name="Catálogo de artefactos" sheetId="6" state="visible" r:id="rId6"/>
    <sheet xmlns:r="http://schemas.openxmlformats.org/officeDocument/2006/relationships" name="Auditorí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bottom" textRotation="90"/>
    </xf>
    <xf numFmtId="0" fontId="3" fillId="0" borderId="0" pivotButton="0" quotePrefix="0" xfId="0"/>
    <xf numFmtId="9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MATRIZ DE TRAZABILIDAD DE REQUISITOS — Proyecto Tripulaciones (TRI-MTZ-007)</t>
        </is>
      </c>
    </row>
    <row r="2">
      <c r="A2" t="inlineStr">
        <is>
          <t>Generada automáticamente por U4A1-Trazabilidad/herramienta.py. No se edita a mano: se cambian las fuentes y se vuelve a generar.</t>
        </is>
      </c>
    </row>
    <row r="3">
      <c r="A3" t="inlineStr"/>
    </row>
    <row r="4">
      <c r="A4" t="inlineStr">
        <is>
          <t>Fuentes: backlog (Backlog/Product_backlog.reqw), código (marcas @trace en U3A2-Prototipado/prototipo/index.html), pruebas (U3A2-Prototipado/pruebas/resultados_pruebas.json),</t>
        </is>
      </c>
    </row>
    <row r="5">
      <c r="A5" t="inlineStr">
        <is>
          <t>necesidades (trazabilidad/necesidades.json), decisiones del CCB (trazabilidad/cambios_aprobados.json) y catálogo (trazabilidad/catalogo_artefactos.json).</t>
        </is>
      </c>
    </row>
    <row r="6">
      <c r="A6" t="inlineStr"/>
    </row>
    <row r="7">
      <c r="A7" t="inlineStr">
        <is>
          <t>Hojas: Matriz principal · Trazabilidad visual (requisito × artefacto) · Resumen y métricas · Registro de RFCs · Catálogo de artefactos · Auditoría.</t>
        </is>
      </c>
    </row>
    <row r="8">
      <c r="A8" t="inlineStr"/>
    </row>
    <row r="9">
      <c r="A9" t="inlineStr">
        <is>
          <t>Estados: Verificado = tiene código y todas sus pruebas pasan · Implementado = tiene código sin pruebas · Aprobado = está en el backlog, sin construir en el prototipo.</t>
        </is>
      </c>
    </row>
    <row r="10">
      <c r="A10" t="inlineStr">
        <is>
          <t>Para regenerar:  python3 U4A1-Trazabilidad/herramienta.py todo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2" customWidth="1" min="3" max="3"/>
    <col width="16" customWidth="1" min="4" max="4"/>
    <col width="22" customWidth="1" min="5" max="5"/>
    <col width="10" customWidth="1" min="6" max="6"/>
    <col width="16" customWidth="1" min="7" max="7"/>
    <col width="12" customWidth="1" min="8" max="8"/>
    <col width="36" customWidth="1" min="9" max="9"/>
    <col width="14" customWidth="1" min="10" max="10"/>
    <col width="26" customWidth="1" min="11" max="11"/>
    <col width="14" customWidth="1" min="12" max="12"/>
    <col width="14" customWidth="1" min="13" max="13"/>
    <col width="14" customWidth="1" min="14" max="14"/>
    <col width="24" customWidth="1" min="15" max="15"/>
    <col width="14" customWidth="1" min="16" max="16"/>
    <col width="50" customWidth="1" min="17" max="17"/>
  </cols>
  <sheetData>
    <row r="1">
      <c r="A1" s="1" t="inlineStr">
        <is>
          <t>MATRIZ DE TRAZABILIDAD DE REQUISITOS — Hoja principal</t>
        </is>
      </c>
    </row>
    <row r="3" ht="45" customHeight="1">
      <c r="A3" s="2" t="inlineStr">
        <is>
          <t>ID Requisito</t>
        </is>
      </c>
      <c r="B3" s="2" t="inlineStr">
        <is>
          <t>Título del requisito</t>
        </is>
      </c>
      <c r="C3" s="2" t="inlineStr">
        <is>
          <t>Tipo</t>
        </is>
      </c>
      <c r="D3" s="2" t="inlineStr">
        <is>
          <t>ID Necesidad de negocio</t>
        </is>
      </c>
      <c r="E3" s="2" t="inlineStr">
        <is>
          <t>Actor / stakeholder</t>
        </is>
      </c>
      <c r="F3" s="2" t="inlineStr">
        <is>
          <t>Prioridad</t>
        </is>
      </c>
      <c r="G3" s="2" t="inlineStr">
        <is>
          <t>Versión del backlog</t>
        </is>
      </c>
      <c r="H3" s="2" t="inlineStr">
        <is>
          <t>Criterios de aceptación (n)</t>
        </is>
      </c>
      <c r="I3" s="2" t="inlineStr">
        <is>
          <t>Código (funciones con @trace)</t>
        </is>
      </c>
      <c r="J3" s="2" t="inlineStr">
        <is>
          <t>Implementación</t>
        </is>
      </c>
      <c r="K3" s="2" t="inlineStr">
        <is>
          <t>ID Casos de prueba</t>
        </is>
      </c>
      <c r="L3" s="2" t="inlineStr">
        <is>
          <t>Resultado prueba</t>
        </is>
      </c>
      <c r="M3" s="2" t="inlineStr">
        <is>
          <t>Fecha última prueba</t>
        </is>
      </c>
      <c r="N3" s="2" t="inlineStr">
        <is>
          <t>Estado actual</t>
        </is>
      </c>
      <c r="O3" s="2" t="inlineStr">
        <is>
          <t>RFC aprobadas asociadas</t>
        </is>
      </c>
      <c r="P3" s="2" t="inlineStr">
        <is>
          <t>Última actualización</t>
        </is>
      </c>
      <c r="Q3" s="2" t="inlineStr">
        <is>
          <t>Notas / observaciones</t>
        </is>
      </c>
    </row>
    <row r="4">
      <c r="A4" s="3" t="inlineStr">
        <is>
          <t>HU-01</t>
        </is>
      </c>
      <c r="B4" s="3" t="inlineStr">
        <is>
          <t>Registrar y actualizar tripulantes</t>
        </is>
      </c>
      <c r="C4" s="3" t="inlineStr">
        <is>
          <t>Funcional</t>
        </is>
      </c>
      <c r="D4" s="3" t="inlineStr">
        <is>
          <t>NEG-02, NEG-04</t>
        </is>
      </c>
      <c r="E4" s="3" t="inlineStr">
        <is>
          <t>PersonalAdministrativo</t>
        </is>
      </c>
      <c r="F4" s="3" t="inlineStr">
        <is>
          <t>Alta</t>
        </is>
      </c>
      <c r="G4" s="3" t="inlineStr">
        <is>
          <t>TRI-PBL-001 v1.0</t>
        </is>
      </c>
      <c r="H4" s="3" t="n">
        <v>3</v>
      </c>
      <c r="I4" s="3" t="inlineStr">
        <is>
          <t>—</t>
        </is>
      </c>
      <c r="J4" s="3" t="inlineStr">
        <is>
          <t>Pendiente</t>
        </is>
      </c>
      <c r="K4" s="3" t="inlineStr">
        <is>
          <t>—</t>
        </is>
      </c>
      <c r="L4" s="3" t="inlineStr">
        <is>
          <t>Sin prueba</t>
        </is>
      </c>
      <c r="M4" s="3" t="inlineStr">
        <is>
          <t>—</t>
        </is>
      </c>
      <c r="N4" s="4" t="inlineStr">
        <is>
          <t>Aprobado</t>
        </is>
      </c>
      <c r="O4" s="3" t="inlineStr">
        <is>
          <t>—</t>
        </is>
      </c>
      <c r="P4" s="3" t="inlineStr">
        <is>
          <t>2026-10-15</t>
        </is>
      </c>
      <c r="Q4" s="3" t="inlineStr">
        <is>
          <t>Registro administrativo; no cambia la decisión de asignación que valida el prototipo (U3A2, sección 7.1).</t>
        </is>
      </c>
    </row>
    <row r="5">
      <c r="A5" s="3" t="inlineStr">
        <is>
          <t>HU-02</t>
        </is>
      </c>
      <c r="B5" s="3" t="inlineStr">
        <is>
          <t>Registrar y actualizar tripulaciones</t>
        </is>
      </c>
      <c r="C5" s="3" t="inlineStr">
        <is>
          <t>Funcional</t>
        </is>
      </c>
      <c r="D5" s="3" t="inlineStr">
        <is>
          <t>NEG-02, NEG-04</t>
        </is>
      </c>
      <c r="E5" s="3" t="inlineStr">
        <is>
          <t>PersonalAdministrativo</t>
        </is>
      </c>
      <c r="F5" s="3" t="inlineStr">
        <is>
          <t>Alta</t>
        </is>
      </c>
      <c r="G5" s="3" t="inlineStr">
        <is>
          <t>TRI-PBL-001 v1.0</t>
        </is>
      </c>
      <c r="H5" s="3" t="n">
        <v>2</v>
      </c>
      <c r="I5" s="3" t="inlineStr">
        <is>
          <t>—</t>
        </is>
      </c>
      <c r="J5" s="3" t="inlineStr">
        <is>
          <t>Pendiente</t>
        </is>
      </c>
      <c r="K5" s="3" t="inlineStr">
        <is>
          <t>—</t>
        </is>
      </c>
      <c r="L5" s="3" t="inlineStr">
        <is>
          <t>Sin prueba</t>
        </is>
      </c>
      <c r="M5" s="3" t="inlineStr">
        <is>
          <t>—</t>
        </is>
      </c>
      <c r="N5" s="4" t="inlineStr">
        <is>
          <t>Aprobado</t>
        </is>
      </c>
      <c r="O5" s="3" t="inlineStr">
        <is>
          <t>—</t>
        </is>
      </c>
      <c r="P5" s="3" t="inlineStr">
        <is>
          <t>2026-10-15</t>
        </is>
      </c>
      <c r="Q5" s="3" t="inlineStr">
        <is>
          <t>Registro administrativo; fuera del alcance del prototipo (U3A2, sección 7.1).</t>
        </is>
      </c>
    </row>
    <row r="6">
      <c r="A6" s="3" t="inlineStr">
        <is>
          <t>HU-03</t>
        </is>
      </c>
      <c r="B6" s="3" t="inlineStr">
        <is>
          <t>Registrar y actualizar vuelos</t>
        </is>
      </c>
      <c r="C6" s="3" t="inlineStr">
        <is>
          <t>Funcional</t>
        </is>
      </c>
      <c r="D6" s="3" t="inlineStr">
        <is>
          <t>NEG-02, NEG-04</t>
        </is>
      </c>
      <c r="E6" s="3" t="inlineStr">
        <is>
          <t>PersonalAdministrativo</t>
        </is>
      </c>
      <c r="F6" s="3" t="inlineStr">
        <is>
          <t>Alta</t>
        </is>
      </c>
      <c r="G6" s="3" t="inlineStr">
        <is>
          <t>TRI-PBL-001 v1.0</t>
        </is>
      </c>
      <c r="H6" s="3" t="n">
        <v>2</v>
      </c>
      <c r="I6" s="3" t="inlineStr">
        <is>
          <t>—</t>
        </is>
      </c>
      <c r="J6" s="3" t="inlineStr">
        <is>
          <t>Pendiente</t>
        </is>
      </c>
      <c r="K6" s="3" t="inlineStr">
        <is>
          <t>—</t>
        </is>
      </c>
      <c r="L6" s="3" t="inlineStr">
        <is>
          <t>Sin prueba</t>
        </is>
      </c>
      <c r="M6" s="3" t="inlineStr">
        <is>
          <t>—</t>
        </is>
      </c>
      <c r="N6" s="4" t="inlineStr">
        <is>
          <t>Aprobado</t>
        </is>
      </c>
      <c r="O6" s="3" t="inlineStr">
        <is>
          <t>RFC-A1</t>
        </is>
      </c>
      <c r="P6" s="3" t="inlineStr">
        <is>
          <t>2026-10-15</t>
        </is>
      </c>
      <c r="Q6" s="3" t="inlineStr">
        <is>
          <t>Registro administrativo; fuera del alcance del prototipo (U3A2, sección 7.1).</t>
        </is>
      </c>
    </row>
    <row r="7">
      <c r="A7" s="3" t="inlineStr">
        <is>
          <t>HU-04</t>
        </is>
      </c>
      <c r="B7" s="3" t="inlineStr">
        <is>
          <t>Consultar vuelos asignados</t>
        </is>
      </c>
      <c r="C7" s="3" t="inlineStr">
        <is>
          <t>Funcional</t>
        </is>
      </c>
      <c r="D7" s="3" t="inlineStr">
        <is>
          <t>NEG-04</t>
        </is>
      </c>
      <c r="E7" s="3" t="inlineStr">
        <is>
          <t>PilotoCopiloto</t>
        </is>
      </c>
      <c r="F7" s="3" t="inlineStr">
        <is>
          <t>Alta</t>
        </is>
      </c>
      <c r="G7" s="3" t="inlineStr">
        <is>
          <t>TRI-PBL-001 v1.0</t>
        </is>
      </c>
      <c r="H7" s="3" t="n">
        <v>2</v>
      </c>
      <c r="I7" s="3" t="inlineStr">
        <is>
          <t>vMisVuelos</t>
        </is>
      </c>
      <c r="J7" s="3" t="inlineStr">
        <is>
          <t>Prototipo v0.2</t>
        </is>
      </c>
      <c r="K7" s="3" t="inlineStr">
        <is>
          <t>P15, P16</t>
        </is>
      </c>
      <c r="L7" s="3" t="inlineStr">
        <is>
          <t>Pasado 2/2</t>
        </is>
      </c>
      <c r="M7" s="3" t="inlineStr">
        <is>
          <t>2026-10-14</t>
        </is>
      </c>
      <c r="N7" s="5" t="inlineStr">
        <is>
          <t>Verificado</t>
        </is>
      </c>
      <c r="O7" s="3" t="inlineStr">
        <is>
          <t>—</t>
        </is>
      </c>
      <c r="P7" s="3" t="inlineStr">
        <is>
          <t>2026-10-15</t>
        </is>
      </c>
      <c r="Q7" s="3" t="inlineStr"/>
    </row>
    <row r="8">
      <c r="A8" s="3" t="inlineStr">
        <is>
          <t>HU-05</t>
        </is>
      </c>
      <c r="B8" s="3" t="inlineStr">
        <is>
          <t>Consultar características de un vuelo</t>
        </is>
      </c>
      <c r="C8" s="3" t="inlineStr">
        <is>
          <t>Funcional</t>
        </is>
      </c>
      <c r="D8" s="3" t="inlineStr">
        <is>
          <t>NEG-04</t>
        </is>
      </c>
      <c r="E8" s="3" t="inlineStr">
        <is>
          <t>MiembroTripulacion</t>
        </is>
      </c>
      <c r="F8" s="3" t="inlineStr">
        <is>
          <t>Alta</t>
        </is>
      </c>
      <c r="G8" s="3" t="inlineStr">
        <is>
          <t>TRI-PBL-001 v1.0</t>
        </is>
      </c>
      <c r="H8" s="3" t="n">
        <v>1</v>
      </c>
      <c r="I8" s="3" t="inlineStr">
        <is>
          <t>fichaVuelo, vVueloOperador, vTodos, vVueloTripulante</t>
        </is>
      </c>
      <c r="J8" s="3" t="inlineStr">
        <is>
          <t>Prototipo v0.2</t>
        </is>
      </c>
      <c r="K8" s="3" t="inlineStr">
        <is>
          <t>P18</t>
        </is>
      </c>
      <c r="L8" s="3" t="inlineStr">
        <is>
          <t>Pasado 1/1</t>
        </is>
      </c>
      <c r="M8" s="3" t="inlineStr">
        <is>
          <t>2026-10-14</t>
        </is>
      </c>
      <c r="N8" s="5" t="inlineStr">
        <is>
          <t>Verificado</t>
        </is>
      </c>
      <c r="O8" s="3" t="inlineStr">
        <is>
          <t>RFC-A1</t>
        </is>
      </c>
      <c r="P8" s="3" t="inlineStr">
        <is>
          <t>2026-10-15</t>
        </is>
      </c>
      <c r="Q8" s="3" t="inlineStr"/>
    </row>
    <row r="9">
      <c r="A9" s="3" t="inlineStr">
        <is>
          <t>HU-06</t>
        </is>
      </c>
      <c r="B9" s="3" t="inlineStr">
        <is>
          <t>Registrar resultado de simulación</t>
        </is>
      </c>
      <c r="C9" s="3" t="inlineStr">
        <is>
          <t>Funcional</t>
        </is>
      </c>
      <c r="D9" s="3" t="inlineStr">
        <is>
          <t>NEG-01, NEG-02, NEG-05</t>
        </is>
      </c>
      <c r="E9" s="3" t="inlineStr">
        <is>
          <t>Piloto</t>
        </is>
      </c>
      <c r="F9" s="3" t="inlineStr">
        <is>
          <t>Alta</t>
        </is>
      </c>
      <c r="G9" s="3" t="inlineStr">
        <is>
          <t>TRI-PBL-001 v1.0</t>
        </is>
      </c>
      <c r="H9" s="3" t="n">
        <v>2</v>
      </c>
      <c r="I9" s="3" t="inlineStr">
        <is>
          <t>vResultado, ligarResultado</t>
        </is>
      </c>
      <c r="J9" s="3" t="inlineStr">
        <is>
          <t>Prototipo v0.2</t>
        </is>
      </c>
      <c r="K9" s="3" t="inlineStr">
        <is>
          <t>P21, P22</t>
        </is>
      </c>
      <c r="L9" s="3" t="inlineStr">
        <is>
          <t>Pasado 2/2</t>
        </is>
      </c>
      <c r="M9" s="3" t="inlineStr">
        <is>
          <t>2026-10-14</t>
        </is>
      </c>
      <c r="N9" s="5" t="inlineStr">
        <is>
          <t>Verificado</t>
        </is>
      </c>
      <c r="O9" s="3" t="inlineStr">
        <is>
          <t>RFC-C4, RFC-B1, RFC-C2</t>
        </is>
      </c>
      <c r="P9" s="3" t="inlineStr">
        <is>
          <t>2026-10-15</t>
        </is>
      </c>
      <c r="Q9" s="3" t="inlineStr">
        <is>
          <t>El resultado anterior se conserva en el historial (criterio del backlog); el caso de estudio dice que se elimina. Resuelto en RFC-B1.</t>
        </is>
      </c>
    </row>
    <row r="10">
      <c r="A10" s="3" t="inlineStr">
        <is>
          <t>HU-07</t>
        </is>
      </c>
      <c r="B10" s="3" t="inlineStr">
        <is>
          <t>Recomendar tripulación según escenario más aproximado</t>
        </is>
      </c>
      <c r="C10" s="3" t="inlineStr">
        <is>
          <t>Funcional</t>
        </is>
      </c>
      <c r="D10" s="3" t="inlineStr">
        <is>
          <t>NEG-03</t>
        </is>
      </c>
      <c r="E10" s="3" t="inlineStr">
        <is>
          <t>OperadorVuelo</t>
        </is>
      </c>
      <c r="F10" s="3" t="inlineStr">
        <is>
          <t>Alta</t>
        </is>
      </c>
      <c r="G10" s="3" t="inlineStr">
        <is>
          <t>TRI-PBL-001 v1.0</t>
        </is>
      </c>
      <c r="H10" s="3" t="n">
        <v>2</v>
      </c>
      <c r="I10" s="3" t="inlineStr">
        <is>
          <t>distancia, masCercano, ranking, vVueloOperador</t>
        </is>
      </c>
      <c r="J10" s="3" t="inlineStr">
        <is>
          <t>Prototipo v0.2</t>
        </is>
      </c>
      <c r="K10" s="3" t="inlineStr">
        <is>
          <t>P02, P03, P10, P11, P12, P23</t>
        </is>
      </c>
      <c r="L10" s="3" t="inlineStr">
        <is>
          <t>Pasado 6/6</t>
        </is>
      </c>
      <c r="M10" s="3" t="inlineStr">
        <is>
          <t>2026-10-14</t>
        </is>
      </c>
      <c r="N10" s="5" t="inlineStr">
        <is>
          <t>Verificado</t>
        </is>
      </c>
      <c r="O10" s="3" t="inlineStr">
        <is>
          <t>RFC-A3, RFC-A1, RFC-B1, RFC-C2</t>
        </is>
      </c>
      <c r="P10" s="3" t="inlineStr">
        <is>
          <t>2026-10-15</t>
        </is>
      </c>
      <c r="Q10" s="3" t="inlineStr">
        <is>
          <t>DEF-01 y DEF-07 abiertos (empate y falta de explicación).</t>
        </is>
      </c>
    </row>
    <row r="11">
      <c r="A11" s="3" t="inlineStr">
        <is>
          <t>HU-08</t>
        </is>
      </c>
      <c r="B11" s="3" t="inlineStr">
        <is>
          <t>Asignar tripulación a un vuelo</t>
        </is>
      </c>
      <c r="C11" s="3" t="inlineStr">
        <is>
          <t>Funcional</t>
        </is>
      </c>
      <c r="D11" s="3" t="inlineStr">
        <is>
          <t>NEG-03</t>
        </is>
      </c>
      <c r="E11" s="3" t="inlineStr">
        <is>
          <t>OperadorVuelo</t>
        </is>
      </c>
      <c r="F11" s="3" t="inlineStr">
        <is>
          <t>Alta</t>
        </is>
      </c>
      <c r="G11" s="3" t="inlineStr">
        <is>
          <t>TRI-PBL-001 v1.0</t>
        </is>
      </c>
      <c r="H11" s="3" t="n">
        <v>2</v>
      </c>
      <c r="I11" s="3" t="inlineStr">
        <is>
          <t>vVuelos, vVueloOperador, abrirConfirmar</t>
        </is>
      </c>
      <c r="J11" s="3" t="inlineStr">
        <is>
          <t>Prototipo v0.2</t>
        </is>
      </c>
      <c r="K11" s="3" t="inlineStr">
        <is>
          <t>P01, P04, P05, P06, P07, P08, P13, P14</t>
        </is>
      </c>
      <c r="L11" s="3" t="inlineStr">
        <is>
          <t>Pasado 8/8</t>
        </is>
      </c>
      <c r="M11" s="3" t="inlineStr">
        <is>
          <t>2026-10-14</t>
        </is>
      </c>
      <c r="N11" s="5" t="inlineStr">
        <is>
          <t>Verificado</t>
        </is>
      </c>
      <c r="O11" s="3" t="inlineStr">
        <is>
          <t>RFC-A3, RFC-A2, RFC-B1, RFC-C2</t>
        </is>
      </c>
      <c r="P11" s="3" t="inlineStr">
        <is>
          <t>2026-10-15</t>
        </is>
      </c>
      <c r="Q11" s="3" t="inlineStr"/>
    </row>
    <row r="12">
      <c r="A12" s="3" t="inlineStr">
        <is>
          <t>HU-09</t>
        </is>
      </c>
      <c r="B12" s="3" t="inlineStr">
        <is>
          <t>Alertar simulación anual pendiente</t>
        </is>
      </c>
      <c r="C12" s="3" t="inlineStr">
        <is>
          <t>Funcional</t>
        </is>
      </c>
      <c r="D12" s="3" t="inlineStr">
        <is>
          <t>NEG-01</t>
        </is>
      </c>
      <c r="E12" s="3" t="inlineStr">
        <is>
          <t>Piloto</t>
        </is>
      </c>
      <c r="F12" s="3" t="inlineStr">
        <is>
          <t>Media</t>
        </is>
      </c>
      <c r="G12" s="3" t="inlineStr">
        <is>
          <t>TRI-PBL-001 v1.0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Pendiente</t>
        </is>
      </c>
      <c r="K12" s="3" t="inlineStr">
        <is>
          <t>—</t>
        </is>
      </c>
      <c r="L12" s="3" t="inlineStr">
        <is>
          <t>Sin prueba</t>
        </is>
      </c>
      <c r="M12" s="3" t="inlineStr">
        <is>
          <t>—</t>
        </is>
      </c>
      <c r="N12" s="4" t="inlineStr">
        <is>
          <t>Aprobado</t>
        </is>
      </c>
      <c r="O12" s="3" t="inlineStr">
        <is>
          <t>RFC-A3, RFC-C4</t>
        </is>
      </c>
      <c r="P12" s="3" t="inlineStr">
        <is>
          <t>2026-10-15</t>
        </is>
      </c>
      <c r="Q12" s="3" t="inlineStr">
        <is>
          <t>Alerta de simulación anual; requiere calendario y notificaciones (RFC-A3, CCB 13/10/2026).</t>
        </is>
      </c>
    </row>
    <row r="13">
      <c r="A13" s="3" t="inlineStr">
        <is>
          <t>HU-10</t>
        </is>
      </c>
      <c r="B13" s="3" t="inlineStr">
        <is>
          <t>Gestionar catálogo de escenarios</t>
        </is>
      </c>
      <c r="C13" s="3" t="inlineStr">
        <is>
          <t>Funcional</t>
        </is>
      </c>
      <c r="D13" s="3" t="inlineStr">
        <is>
          <t>NEG-02, NEG-05</t>
        </is>
      </c>
      <c r="E13" s="3" t="inlineStr">
        <is>
          <t>AdministradorSistema</t>
        </is>
      </c>
      <c r="F13" s="3" t="inlineStr">
        <is>
          <t>Media</t>
        </is>
      </c>
      <c r="G13" s="3" t="inlineStr">
        <is>
          <t>TRI-PBL-001 v1.0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Pendiente</t>
        </is>
      </c>
      <c r="K13" s="3" t="inlineStr">
        <is>
          <t>—</t>
        </is>
      </c>
      <c r="L13" s="3" t="inlineStr">
        <is>
          <t>Sin prueba</t>
        </is>
      </c>
      <c r="M13" s="3" t="inlineStr">
        <is>
          <t>—</t>
        </is>
      </c>
      <c r="N13" s="4" t="inlineStr">
        <is>
          <t>Aprobado</t>
        </is>
      </c>
      <c r="O13" s="3" t="inlineStr">
        <is>
          <t>RFC-A1</t>
        </is>
      </c>
      <c r="P13" s="3" t="inlineStr">
        <is>
          <t>2026-10-15</t>
        </is>
      </c>
      <c r="Q13" s="3" t="inlineStr">
        <is>
          <t>Gestión del catálogo; el prototipo trae escenarios fijos.</t>
        </is>
      </c>
    </row>
    <row r="14">
      <c r="A14" s="3" t="inlineStr">
        <is>
          <t>HU-11</t>
        </is>
      </c>
      <c r="B14" s="3" t="inlineStr">
        <is>
          <t>Reportes históricos de desempeño</t>
        </is>
      </c>
      <c r="C14" s="3" t="inlineStr">
        <is>
          <t>Funcional</t>
        </is>
      </c>
      <c r="D14" s="3" t="inlineStr">
        <is>
          <t>NEG-01</t>
        </is>
      </c>
      <c r="E14" s="3" t="inlineStr">
        <is>
          <t>OperadorDireccion</t>
        </is>
      </c>
      <c r="F14" s="3" t="inlineStr">
        <is>
          <t>Baja</t>
        </is>
      </c>
      <c r="G14" s="3" t="inlineStr">
        <is>
          <t>TRI-PBL-001 v1.0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Pendiente</t>
        </is>
      </c>
      <c r="K14" s="3" t="inlineStr">
        <is>
          <t>—</t>
        </is>
      </c>
      <c r="L14" s="3" t="inlineStr">
        <is>
          <t>Sin prueba</t>
        </is>
      </c>
      <c r="M14" s="3" t="inlineStr">
        <is>
          <t>—</t>
        </is>
      </c>
      <c r="N14" s="4" t="inlineStr">
        <is>
          <t>Aprobado</t>
        </is>
      </c>
      <c r="O14" s="3" t="inlineStr">
        <is>
          <t>RFC-C4, RFC-B1, RFC-C2</t>
        </is>
      </c>
      <c r="P14" s="3" t="inlineStr">
        <is>
          <t>2026-10-15</t>
        </is>
      </c>
      <c r="Q14" s="3" t="inlineStr">
        <is>
          <t>Reportes históricos; dependen del histórico de RFC-B1.</t>
        </is>
      </c>
    </row>
    <row r="15">
      <c r="A15" s="3" t="inlineStr">
        <is>
          <t>HU-12</t>
        </is>
      </c>
      <c r="B15" s="3" t="inlineStr">
        <is>
          <t>Notificación de cambio de asignación</t>
        </is>
      </c>
      <c r="C15" s="3" t="inlineStr">
        <is>
          <t>Funcional</t>
        </is>
      </c>
      <c r="D15" s="3" t="inlineStr">
        <is>
          <t>NEG-04</t>
        </is>
      </c>
      <c r="E15" s="3" t="inlineStr">
        <is>
          <t>UsuarioSistema</t>
        </is>
      </c>
      <c r="F15" s="3" t="inlineStr">
        <is>
          <t>Baja</t>
        </is>
      </c>
      <c r="G15" s="3" t="inlineStr">
        <is>
          <t>TRI-PBL-001 v1.0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Pendiente</t>
        </is>
      </c>
      <c r="K15" s="3" t="inlineStr">
        <is>
          <t>—</t>
        </is>
      </c>
      <c r="L15" s="3" t="inlineStr">
        <is>
          <t>Sin prueba</t>
        </is>
      </c>
      <c r="M15" s="3" t="inlineStr">
        <is>
          <t>—</t>
        </is>
      </c>
      <c r="N15" s="4" t="inlineStr">
        <is>
          <t>Aprobado</t>
        </is>
      </c>
      <c r="O15" s="3" t="inlineStr">
        <is>
          <t>RFC-A2</t>
        </is>
      </c>
      <c r="P15" s="3" t="inlineStr">
        <is>
          <t>2026-10-15</t>
        </is>
      </c>
      <c r="Q15" s="3" t="inlineStr">
        <is>
          <t>Notificaciones; dependen de RFC-A2 (Sprint 5).</t>
        </is>
      </c>
    </row>
    <row r="16">
      <c r="A16" s="3" t="inlineStr">
        <is>
          <t>RNF-01</t>
        </is>
      </c>
      <c r="B16" s="3" t="inlineStr">
        <is>
          <t>Seguridad basada en roles</t>
        </is>
      </c>
      <c r="C16" s="3" t="inlineStr">
        <is>
          <t>Restricción</t>
        </is>
      </c>
      <c r="D16" s="3" t="inlineStr">
        <is>
          <t>NEG-04</t>
        </is>
      </c>
      <c r="E16" s="3" t="inlineStr">
        <is>
          <t>Sistema</t>
        </is>
      </c>
      <c r="F16" s="3" t="inlineStr">
        <is>
          <t>Alta</t>
        </is>
      </c>
      <c r="G16" s="3" t="inlineStr">
        <is>
          <t>TRI-PBL-001 v1.0</t>
        </is>
      </c>
      <c r="H16" s="3" t="n">
        <v>2</v>
      </c>
      <c r="I16" s="3" t="inlineStr">
        <is>
          <t>NAV, permitido</t>
        </is>
      </c>
      <c r="J16" s="3" t="inlineStr">
        <is>
          <t>Prototipo v0.2</t>
        </is>
      </c>
      <c r="K16" s="3" t="inlineStr">
        <is>
          <t>P17</t>
        </is>
      </c>
      <c r="L16" s="3" t="inlineStr">
        <is>
          <t>Pasado 1/1</t>
        </is>
      </c>
      <c r="M16" s="3" t="inlineStr">
        <is>
          <t>2026-10-14</t>
        </is>
      </c>
      <c r="N16" s="5" t="inlineStr">
        <is>
          <t>Verificado</t>
        </is>
      </c>
      <c r="O16" s="3" t="inlineStr">
        <is>
          <t>RFC-A3</t>
        </is>
      </c>
      <c r="P16" s="3" t="inlineStr">
        <is>
          <t>2026-10-15</t>
        </is>
      </c>
      <c r="Q16" s="3" t="inlineStr">
        <is>
          <t>Parcial: rol simulado con selector; sin inicio de sesión real.</t>
        </is>
      </c>
    </row>
    <row r="17">
      <c r="A17" s="3" t="inlineStr">
        <is>
          <t>RNF-02</t>
        </is>
      </c>
      <c r="B17" s="3" t="inlineStr">
        <is>
          <t>Auditoría de asignaciones</t>
        </is>
      </c>
      <c r="C17" s="3" t="inlineStr">
        <is>
          <t>Restricción</t>
        </is>
      </c>
      <c r="D17" s="3" t="inlineStr">
        <is>
          <t>NEG-03</t>
        </is>
      </c>
      <c r="E17" s="3" t="inlineStr">
        <is>
          <t>Sistema</t>
        </is>
      </c>
      <c r="F17" s="3" t="inlineStr">
        <is>
          <t>Alta</t>
        </is>
      </c>
      <c r="G17" s="3" t="inlineStr">
        <is>
          <t>TRI-PBL-001 v1.0</t>
        </is>
      </c>
      <c r="H17" s="3" t="n">
        <v>2</v>
      </c>
      <c r="I17" s="3" t="inlineStr">
        <is>
          <t>abrirConfirmar, vAuditoria</t>
        </is>
      </c>
      <c r="J17" s="3" t="inlineStr">
        <is>
          <t>Prototipo v0.2</t>
        </is>
      </c>
      <c r="K17" s="3" t="inlineStr">
        <is>
          <t>P09</t>
        </is>
      </c>
      <c r="L17" s="3" t="inlineStr">
        <is>
          <t>Pasado 1/1</t>
        </is>
      </c>
      <c r="M17" s="3" t="inlineStr">
        <is>
          <t>2026-10-14</t>
        </is>
      </c>
      <c r="N17" s="5" t="inlineStr">
        <is>
          <t>Verificado</t>
        </is>
      </c>
      <c r="O17" s="3" t="inlineStr">
        <is>
          <t>RFC-A2, RFC-B1, RFC-C2</t>
        </is>
      </c>
      <c r="P17" s="3" t="inlineStr">
        <is>
          <t>2026-10-15</t>
        </is>
      </c>
      <c r="Q17" s="3" t="inlineStr">
        <is>
          <t>Parcial: el historial registra vuelo, tripulación, motivo y fecha; falta usuario autenticado y valor anterior.</t>
        </is>
      </c>
    </row>
    <row r="18">
      <c r="A18" s="3" t="inlineStr">
        <is>
          <t>RNF-03</t>
        </is>
      </c>
      <c r="B18" s="3" t="inlineStr">
        <is>
          <t>Disponibilidad continua</t>
        </is>
      </c>
      <c r="C18" s="3" t="inlineStr">
        <is>
          <t>Restricción</t>
        </is>
      </c>
      <c r="D18" s="3" t="inlineStr">
        <is>
          <t>NEG-04</t>
        </is>
      </c>
      <c r="E18" s="3" t="inlineStr">
        <is>
          <t>Sistema</t>
        </is>
      </c>
      <c r="F18" s="3" t="inlineStr">
        <is>
          <t>Media</t>
        </is>
      </c>
      <c r="G18" s="3" t="inlineStr">
        <is>
          <t>TRI-PBL-001 v1.0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Pendiente</t>
        </is>
      </c>
      <c r="K18" s="3" t="inlineStr">
        <is>
          <t>—</t>
        </is>
      </c>
      <c r="L18" s="3" t="inlineStr">
        <is>
          <t>Sin prueba</t>
        </is>
      </c>
      <c r="M18" s="3" t="inlineStr">
        <is>
          <t>—</t>
        </is>
      </c>
      <c r="N18" s="4" t="inlineStr">
        <is>
          <t>Aprobado</t>
        </is>
      </c>
      <c r="O18" s="3" t="inlineStr">
        <is>
          <t>—</t>
        </is>
      </c>
      <c r="P18" s="3" t="inlineStr">
        <is>
          <t>2026-10-15</t>
        </is>
      </c>
      <c r="Q18" s="3" t="inlineStr">
        <is>
          <t>Disponibilidad 24/7; no medible en un prototipo local.</t>
        </is>
      </c>
    </row>
    <row r="19">
      <c r="A19" s="3" t="inlineStr">
        <is>
          <t>RNF-04</t>
        </is>
      </c>
      <c r="B19" s="3" t="inlineStr">
        <is>
          <t>Rendimiento en consultas</t>
        </is>
      </c>
      <c r="C19" s="3" t="inlineStr">
        <is>
          <t>Restricción</t>
        </is>
      </c>
      <c r="D19" s="3" t="inlineStr">
        <is>
          <t>NEG-04</t>
        </is>
      </c>
      <c r="E19" s="3" t="inlineStr">
        <is>
          <t>Sistema</t>
        </is>
      </c>
      <c r="F19" s="3" t="inlineStr">
        <is>
          <t>Media</t>
        </is>
      </c>
      <c r="G19" s="3" t="inlineStr">
        <is>
          <t>TRI-PBL-001 v1.0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Pendiente</t>
        </is>
      </c>
      <c r="K19" s="3" t="inlineStr">
        <is>
          <t>—</t>
        </is>
      </c>
      <c r="L19" s="3" t="inlineStr">
        <is>
          <t>Sin prueba</t>
        </is>
      </c>
      <c r="M19" s="3" t="inlineStr">
        <is>
          <t>—</t>
        </is>
      </c>
      <c r="N19" s="4" t="inlineStr">
        <is>
          <t>Aprobado</t>
        </is>
      </c>
      <c r="O19" s="3" t="inlineStr">
        <is>
          <t>—</t>
        </is>
      </c>
      <c r="P19" s="3" t="inlineStr">
        <is>
          <t>2026-10-15</t>
        </is>
      </c>
      <c r="Q19" s="3" t="inlineStr">
        <is>
          <t>Rendimiento; sin backend no hay tiempos reales que medir.</t>
        </is>
      </c>
    </row>
    <row r="20">
      <c r="A20" s="3" t="inlineStr">
        <is>
          <t>RNF-05</t>
        </is>
      </c>
      <c r="B20" s="3" t="inlineStr">
        <is>
          <t>Integridad de la sincronización con el simulador</t>
        </is>
      </c>
      <c r="C20" s="3" t="inlineStr">
        <is>
          <t>Restricción</t>
        </is>
      </c>
      <c r="D20" s="3" t="inlineStr">
        <is>
          <t>NEG-05</t>
        </is>
      </c>
      <c r="E20" s="3" t="inlineStr">
        <is>
          <t>Sistema</t>
        </is>
      </c>
      <c r="F20" s="3" t="inlineStr">
        <is>
          <t>Media</t>
        </is>
      </c>
      <c r="G20" s="3" t="inlineStr">
        <is>
          <t>TRI-PBL-001 v1.0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Pendiente</t>
        </is>
      </c>
      <c r="K20" s="3" t="inlineStr">
        <is>
          <t>—</t>
        </is>
      </c>
      <c r="L20" s="3" t="inlineStr">
        <is>
          <t>Sin prueba</t>
        </is>
      </c>
      <c r="M20" s="3" t="inlineStr">
        <is>
          <t>—</t>
        </is>
      </c>
      <c r="N20" s="4" t="inlineStr">
        <is>
          <t>Aprobado</t>
        </is>
      </c>
      <c r="O20" s="3" t="inlineStr">
        <is>
          <t>RFC-B1</t>
        </is>
      </c>
      <c r="P20" s="3" t="inlineStr">
        <is>
          <t>2026-10-15</t>
        </is>
      </c>
      <c r="Q20" s="3" t="inlineStr">
        <is>
          <t>Sincronización con el simulador; el simulador es externo y el prototipo no se conecta.</t>
        </is>
      </c>
    </row>
    <row r="21">
      <c r="A21" s="3" t="inlineStr">
        <is>
          <t>RNF-06</t>
        </is>
      </c>
      <c r="B21" s="3" t="inlineStr">
        <is>
          <t>Usabilidad móvil</t>
        </is>
      </c>
      <c r="C21" s="3" t="inlineStr">
        <is>
          <t>Restricción</t>
        </is>
      </c>
      <c r="D21" s="3" t="inlineStr">
        <is>
          <t>NEG-02</t>
        </is>
      </c>
      <c r="E21" s="3" t="inlineStr">
        <is>
          <t>Sistema</t>
        </is>
      </c>
      <c r="F21" s="3" t="inlineStr">
        <is>
          <t>Baja</t>
        </is>
      </c>
      <c r="G21" s="3" t="inlineStr">
        <is>
          <t>TRI-PBL-001 v1.0</t>
        </is>
      </c>
      <c r="H21" s="3" t="inlineStr">
        <is>
          <t>—</t>
        </is>
      </c>
      <c r="I21" s="3" t="inlineStr">
        <is>
          <t>Estilos para pantallas móviles</t>
        </is>
      </c>
      <c r="J21" s="3" t="inlineStr">
        <is>
          <t>Prototipo v0.2</t>
        </is>
      </c>
      <c r="K21" s="3" t="inlineStr">
        <is>
          <t>P24, P25, P29</t>
        </is>
      </c>
      <c r="L21" s="3" t="inlineStr">
        <is>
          <t>Pasado 3/3</t>
        </is>
      </c>
      <c r="M21" s="3" t="inlineStr">
        <is>
          <t>2026-10-14</t>
        </is>
      </c>
      <c r="N21" s="5" t="inlineStr">
        <is>
          <t>Verificado</t>
        </is>
      </c>
      <c r="O21" s="3" t="inlineStr">
        <is>
          <t>—</t>
        </is>
      </c>
      <c r="P21" s="3" t="inlineStr">
        <is>
          <t>2026-10-15</t>
        </is>
      </c>
      <c r="Q21" s="3" t="inlineStr">
        <is>
          <t>Cumple en 375 px de ancho (DEF-02 corregido).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4" customWidth="1" min="25" max="25"/>
  </cols>
  <sheetData>
    <row r="1">
      <c r="A1" s="1" t="inlineStr">
        <is>
          <t>TRAZABILIDAD VISUAL — Requisitos × Necesidades × Código</t>
        </is>
      </c>
    </row>
    <row r="3" ht="60" customHeight="1">
      <c r="A3" s="2" t="inlineStr">
        <is>
          <t>ID Req.</t>
        </is>
      </c>
      <c r="B3" s="2" t="inlineStr">
        <is>
          <t>Título</t>
        </is>
      </c>
      <c r="C3" s="6" t="inlineStr">
        <is>
          <t>NEG-01</t>
        </is>
      </c>
      <c r="D3" s="6" t="inlineStr">
        <is>
          <t>NEG-02</t>
        </is>
      </c>
      <c r="E3" s="6" t="inlineStr">
        <is>
          <t>NEG-03</t>
        </is>
      </c>
      <c r="F3" s="6" t="inlineStr">
        <is>
          <t>NEG-04</t>
        </is>
      </c>
      <c r="G3" s="6" t="inlineStr">
        <is>
          <t>NEG-05</t>
        </is>
      </c>
      <c r="H3" s="6" t="inlineStr">
        <is>
          <t>Estilos para pantallas móviles</t>
        </is>
      </c>
      <c r="I3" s="6" t="inlineStr">
        <is>
          <t>NAV</t>
        </is>
      </c>
      <c r="J3" s="6" t="inlineStr">
        <is>
          <t>abrirConfirmar</t>
        </is>
      </c>
      <c r="K3" s="6" t="inlineStr">
        <is>
          <t>distancia</t>
        </is>
      </c>
      <c r="L3" s="6" t="inlineStr">
        <is>
          <t>fichaVuelo</t>
        </is>
      </c>
      <c r="M3" s="6" t="inlineStr">
        <is>
          <t>ligarResultado</t>
        </is>
      </c>
      <c r="N3" s="6" t="inlineStr">
        <is>
          <t>masCercano</t>
        </is>
      </c>
      <c r="O3" s="6" t="inlineStr">
        <is>
          <t>permitido</t>
        </is>
      </c>
      <c r="P3" s="6" t="inlineStr">
        <is>
          <t>ranking</t>
        </is>
      </c>
      <c r="Q3" s="6" t="inlineStr">
        <is>
          <t>vAuditoria</t>
        </is>
      </c>
      <c r="R3" s="6" t="inlineStr">
        <is>
          <t>vMisVuelos</t>
        </is>
      </c>
      <c r="S3" s="6" t="inlineStr">
        <is>
          <t>vResultado</t>
        </is>
      </c>
      <c r="T3" s="6" t="inlineStr">
        <is>
          <t>vTodos</t>
        </is>
      </c>
      <c r="U3" s="6" t="inlineStr">
        <is>
          <t>vVueloOperador</t>
        </is>
      </c>
      <c r="V3" s="6" t="inlineStr">
        <is>
          <t>vVueloTripulante</t>
        </is>
      </c>
      <c r="W3" s="6" t="inlineStr">
        <is>
          <t>vVuelos</t>
        </is>
      </c>
      <c r="X3" s="2" t="inlineStr">
        <is>
          <t>Pruebas (n)</t>
        </is>
      </c>
      <c r="Y3" s="2" t="inlineStr">
        <is>
          <t>RFC aprobadas (n)</t>
        </is>
      </c>
    </row>
    <row r="4">
      <c r="A4" s="3" t="inlineStr">
        <is>
          <t>HU-01</t>
        </is>
      </c>
      <c r="B4" s="3" t="inlineStr">
        <is>
          <t>Registrar y actualizar tripulantes</t>
        </is>
      </c>
      <c r="C4" s="3" t="inlineStr"/>
      <c r="D4" s="3" t="inlineStr">
        <is>
          <t>✓</t>
        </is>
      </c>
      <c r="E4" s="3" t="inlineStr"/>
      <c r="F4" s="3" t="inlineStr">
        <is>
          <t>✓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n">
        <v>0</v>
      </c>
      <c r="Y4" s="3" t="n">
        <v>0</v>
      </c>
    </row>
    <row r="5">
      <c r="A5" s="3" t="inlineStr">
        <is>
          <t>HU-02</t>
        </is>
      </c>
      <c r="B5" s="3" t="inlineStr">
        <is>
          <t>Registrar y actualizar tripulaciones</t>
        </is>
      </c>
      <c r="C5" s="3" t="inlineStr"/>
      <c r="D5" s="3" t="inlineStr">
        <is>
          <t>✓</t>
        </is>
      </c>
      <c r="E5" s="3" t="inlineStr"/>
      <c r="F5" s="3" t="inlineStr">
        <is>
          <t>✓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n">
        <v>0</v>
      </c>
      <c r="Y5" s="3" t="n">
        <v>0</v>
      </c>
    </row>
    <row r="6">
      <c r="A6" s="3" t="inlineStr">
        <is>
          <t>HU-03</t>
        </is>
      </c>
      <c r="B6" s="3" t="inlineStr">
        <is>
          <t>Registrar y actualizar vuelos</t>
        </is>
      </c>
      <c r="C6" s="3" t="inlineStr"/>
      <c r="D6" s="3" t="inlineStr">
        <is>
          <t>✓</t>
        </is>
      </c>
      <c r="E6" s="3" t="inlineStr"/>
      <c r="F6" s="3" t="inlineStr">
        <is>
          <t>✓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n">
        <v>0</v>
      </c>
      <c r="Y6" s="3" t="n">
        <v>1</v>
      </c>
    </row>
    <row r="7">
      <c r="A7" s="3" t="inlineStr">
        <is>
          <t>HU-04</t>
        </is>
      </c>
      <c r="B7" s="3" t="inlineStr">
        <is>
          <t>Consultar vuelos asignados</t>
        </is>
      </c>
      <c r="C7" s="3" t="inlineStr"/>
      <c r="D7" s="3" t="inlineStr"/>
      <c r="E7" s="3" t="inlineStr"/>
      <c r="F7" s="3" t="inlineStr">
        <is>
          <t>✓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✓</t>
        </is>
      </c>
      <c r="S7" s="3" t="inlineStr"/>
      <c r="T7" s="3" t="inlineStr"/>
      <c r="U7" s="3" t="inlineStr"/>
      <c r="V7" s="3" t="inlineStr"/>
      <c r="W7" s="3" t="inlineStr"/>
      <c r="X7" s="3" t="n">
        <v>2</v>
      </c>
      <c r="Y7" s="3" t="n">
        <v>0</v>
      </c>
    </row>
    <row r="8">
      <c r="A8" s="3" t="inlineStr">
        <is>
          <t>HU-05</t>
        </is>
      </c>
      <c r="B8" s="3" t="inlineStr">
        <is>
          <t>Consultar características de un vuelo</t>
        </is>
      </c>
      <c r="C8" s="3" t="inlineStr"/>
      <c r="D8" s="3" t="inlineStr"/>
      <c r="E8" s="3" t="inlineStr"/>
      <c r="F8" s="3" t="inlineStr">
        <is>
          <t>✓</t>
        </is>
      </c>
      <c r="G8" s="3" t="inlineStr"/>
      <c r="H8" s="3" t="inlineStr"/>
      <c r="I8" s="3" t="inlineStr"/>
      <c r="J8" s="3" t="inlineStr"/>
      <c r="K8" s="3" t="inlineStr"/>
      <c r="L8" s="3" t="inlineStr">
        <is>
          <t>✓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>
        <is>
          <t>✓</t>
        </is>
      </c>
      <c r="U8" s="3" t="inlineStr">
        <is>
          <t>✓</t>
        </is>
      </c>
      <c r="V8" s="3" t="inlineStr">
        <is>
          <t>✓</t>
        </is>
      </c>
      <c r="W8" s="3" t="inlineStr"/>
      <c r="X8" s="3" t="n">
        <v>1</v>
      </c>
      <c r="Y8" s="3" t="n">
        <v>1</v>
      </c>
    </row>
    <row r="9">
      <c r="A9" s="3" t="inlineStr">
        <is>
          <t>HU-06</t>
        </is>
      </c>
      <c r="B9" s="3" t="inlineStr">
        <is>
          <t>Registrar resultado de simulación</t>
        </is>
      </c>
      <c r="C9" s="3" t="inlineStr">
        <is>
          <t>✓</t>
        </is>
      </c>
      <c r="D9" s="3" t="inlineStr">
        <is>
          <t>✓</t>
        </is>
      </c>
      <c r="E9" s="3" t="inlineStr"/>
      <c r="F9" s="3" t="inlineStr"/>
      <c r="G9" s="3" t="inlineStr">
        <is>
          <t>✓</t>
        </is>
      </c>
      <c r="H9" s="3" t="inlineStr"/>
      <c r="I9" s="3" t="inlineStr"/>
      <c r="J9" s="3" t="inlineStr"/>
      <c r="K9" s="3" t="inlineStr"/>
      <c r="L9" s="3" t="inlineStr"/>
      <c r="M9" s="3" t="inlineStr">
        <is>
          <t>✓</t>
        </is>
      </c>
      <c r="N9" s="3" t="inlineStr"/>
      <c r="O9" s="3" t="inlineStr"/>
      <c r="P9" s="3" t="inlineStr"/>
      <c r="Q9" s="3" t="inlineStr"/>
      <c r="R9" s="3" t="inlineStr"/>
      <c r="S9" s="3" t="inlineStr">
        <is>
          <t>✓</t>
        </is>
      </c>
      <c r="T9" s="3" t="inlineStr"/>
      <c r="U9" s="3" t="inlineStr"/>
      <c r="V9" s="3" t="inlineStr"/>
      <c r="W9" s="3" t="inlineStr"/>
      <c r="X9" s="3" t="n">
        <v>2</v>
      </c>
      <c r="Y9" s="3" t="n">
        <v>3</v>
      </c>
    </row>
    <row r="10">
      <c r="A10" s="3" t="inlineStr">
        <is>
          <t>HU-07</t>
        </is>
      </c>
      <c r="B10" s="3" t="inlineStr">
        <is>
          <t>Recomendar tripulación según escenario m</t>
        </is>
      </c>
      <c r="C10" s="3" t="inlineStr"/>
      <c r="D10" s="3" t="inlineStr"/>
      <c r="E10" s="3" t="inlineStr">
        <is>
          <t>✓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✓</t>
        </is>
      </c>
      <c r="L10" s="3" t="inlineStr"/>
      <c r="M10" s="3" t="inlineStr"/>
      <c r="N10" s="3" t="inlineStr">
        <is>
          <t>✓</t>
        </is>
      </c>
      <c r="O10" s="3" t="inlineStr"/>
      <c r="P10" s="3" t="inlineStr">
        <is>
          <t>✓</t>
        </is>
      </c>
      <c r="Q10" s="3" t="inlineStr"/>
      <c r="R10" s="3" t="inlineStr"/>
      <c r="S10" s="3" t="inlineStr"/>
      <c r="T10" s="3" t="inlineStr"/>
      <c r="U10" s="3" t="inlineStr">
        <is>
          <t>✓</t>
        </is>
      </c>
      <c r="V10" s="3" t="inlineStr"/>
      <c r="W10" s="3" t="inlineStr"/>
      <c r="X10" s="3" t="n">
        <v>6</v>
      </c>
      <c r="Y10" s="3" t="n">
        <v>4</v>
      </c>
    </row>
    <row r="11">
      <c r="A11" s="3" t="inlineStr">
        <is>
          <t>HU-08</t>
        </is>
      </c>
      <c r="B11" s="3" t="inlineStr">
        <is>
          <t>Asignar tripulación a un vuelo</t>
        </is>
      </c>
      <c r="C11" s="3" t="inlineStr"/>
      <c r="D11" s="3" t="inlineStr"/>
      <c r="E11" s="3" t="inlineStr">
        <is>
          <t>✓</t>
        </is>
      </c>
      <c r="F11" s="3" t="inlineStr"/>
      <c r="G11" s="3" t="inlineStr"/>
      <c r="H11" s="3" t="inlineStr"/>
      <c r="I11" s="3" t="inlineStr"/>
      <c r="J11" s="3" t="inlineStr">
        <is>
          <t>✓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✓</t>
        </is>
      </c>
      <c r="V11" s="3" t="inlineStr"/>
      <c r="W11" s="3" t="inlineStr">
        <is>
          <t>✓</t>
        </is>
      </c>
      <c r="X11" s="3" t="n">
        <v>8</v>
      </c>
      <c r="Y11" s="3" t="n">
        <v>4</v>
      </c>
    </row>
    <row r="12">
      <c r="A12" s="3" t="inlineStr">
        <is>
          <t>HU-09</t>
        </is>
      </c>
      <c r="B12" s="3" t="inlineStr">
        <is>
          <t>Alertar simulación anual pendiente</t>
        </is>
      </c>
      <c r="C12" s="3" t="inlineStr">
        <is>
          <t>✓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n">
        <v>0</v>
      </c>
      <c r="Y12" s="3" t="n">
        <v>2</v>
      </c>
    </row>
    <row r="13">
      <c r="A13" s="3" t="inlineStr">
        <is>
          <t>HU-10</t>
        </is>
      </c>
      <c r="B13" s="3" t="inlineStr">
        <is>
          <t>Gestionar catálogo de escenarios</t>
        </is>
      </c>
      <c r="C13" s="3" t="inlineStr"/>
      <c r="D13" s="3" t="inlineStr">
        <is>
          <t>✓</t>
        </is>
      </c>
      <c r="E13" s="3" t="inlineStr"/>
      <c r="F13" s="3" t="inlineStr"/>
      <c r="G13" s="3" t="inlineStr">
        <is>
          <t>✓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n">
        <v>0</v>
      </c>
      <c r="Y13" s="3" t="n">
        <v>1</v>
      </c>
    </row>
    <row r="14">
      <c r="A14" s="3" t="inlineStr">
        <is>
          <t>HU-11</t>
        </is>
      </c>
      <c r="B14" s="3" t="inlineStr">
        <is>
          <t>Reportes históricos de desempeño</t>
        </is>
      </c>
      <c r="C14" s="3" t="inlineStr">
        <is>
          <t>✓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n">
        <v>0</v>
      </c>
      <c r="Y14" s="3" t="n">
        <v>3</v>
      </c>
    </row>
    <row r="15">
      <c r="A15" s="3" t="inlineStr">
        <is>
          <t>HU-12</t>
        </is>
      </c>
      <c r="B15" s="3" t="inlineStr">
        <is>
          <t>Notificación de cambio de asignación</t>
        </is>
      </c>
      <c r="C15" s="3" t="inlineStr"/>
      <c r="D15" s="3" t="inlineStr"/>
      <c r="E15" s="3" t="inlineStr"/>
      <c r="F15" s="3" t="inlineStr">
        <is>
          <t>✓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n">
        <v>0</v>
      </c>
      <c r="Y15" s="3" t="n">
        <v>1</v>
      </c>
    </row>
    <row r="16">
      <c r="A16" s="3" t="inlineStr">
        <is>
          <t>RNF-01</t>
        </is>
      </c>
      <c r="B16" s="3" t="inlineStr">
        <is>
          <t>Seguridad basada en roles</t>
        </is>
      </c>
      <c r="C16" s="3" t="inlineStr"/>
      <c r="D16" s="3" t="inlineStr"/>
      <c r="E16" s="3" t="inlineStr"/>
      <c r="F16" s="3" t="inlineStr">
        <is>
          <t>✓</t>
        </is>
      </c>
      <c r="G16" s="3" t="inlineStr"/>
      <c r="H16" s="3" t="inlineStr"/>
      <c r="I16" s="3" t="inlineStr">
        <is>
          <t>✓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✓</t>
        </is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n">
        <v>1</v>
      </c>
      <c r="Y16" s="3" t="n">
        <v>1</v>
      </c>
    </row>
    <row r="17">
      <c r="A17" s="3" t="inlineStr">
        <is>
          <t>RNF-02</t>
        </is>
      </c>
      <c r="B17" s="3" t="inlineStr">
        <is>
          <t>Auditoría de asignaciones</t>
        </is>
      </c>
      <c r="C17" s="3" t="inlineStr"/>
      <c r="D17" s="3" t="inlineStr"/>
      <c r="E17" s="3" t="inlineStr">
        <is>
          <t>✓</t>
        </is>
      </c>
      <c r="F17" s="3" t="inlineStr"/>
      <c r="G17" s="3" t="inlineStr"/>
      <c r="H17" s="3" t="inlineStr"/>
      <c r="I17" s="3" t="inlineStr"/>
      <c r="J17" s="3" t="inlineStr">
        <is>
          <t>✓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✓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n">
        <v>1</v>
      </c>
      <c r="Y17" s="3" t="n">
        <v>3</v>
      </c>
    </row>
    <row r="18">
      <c r="A18" s="3" t="inlineStr">
        <is>
          <t>RNF-03</t>
        </is>
      </c>
      <c r="B18" s="3" t="inlineStr">
        <is>
          <t>Disponibilidad continua</t>
        </is>
      </c>
      <c r="C18" s="3" t="inlineStr"/>
      <c r="D18" s="3" t="inlineStr"/>
      <c r="E18" s="3" t="inlineStr"/>
      <c r="F18" s="3" t="inlineStr">
        <is>
          <t>✓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n">
        <v>0</v>
      </c>
      <c r="Y18" s="3" t="n">
        <v>0</v>
      </c>
    </row>
    <row r="19">
      <c r="A19" s="3" t="inlineStr">
        <is>
          <t>RNF-04</t>
        </is>
      </c>
      <c r="B19" s="3" t="inlineStr">
        <is>
          <t>Rendimiento en consultas</t>
        </is>
      </c>
      <c r="C19" s="3" t="inlineStr"/>
      <c r="D19" s="3" t="inlineStr"/>
      <c r="E19" s="3" t="inlineStr"/>
      <c r="F19" s="3" t="inlineStr">
        <is>
          <t>✓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n">
        <v>0</v>
      </c>
      <c r="Y19" s="3" t="n">
        <v>0</v>
      </c>
    </row>
    <row r="20">
      <c r="A20" s="3" t="inlineStr">
        <is>
          <t>RNF-05</t>
        </is>
      </c>
      <c r="B20" s="3" t="inlineStr">
        <is>
          <t>Integridad de la sincronización con el s</t>
        </is>
      </c>
      <c r="C20" s="3" t="inlineStr"/>
      <c r="D20" s="3" t="inlineStr"/>
      <c r="E20" s="3" t="inlineStr"/>
      <c r="F20" s="3" t="inlineStr"/>
      <c r="G20" s="3" t="inlineStr">
        <is>
          <t>✓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n">
        <v>0</v>
      </c>
      <c r="Y20" s="3" t="n">
        <v>1</v>
      </c>
    </row>
    <row r="21">
      <c r="A21" s="3" t="inlineStr">
        <is>
          <t>RNF-06</t>
        </is>
      </c>
      <c r="B21" s="3" t="inlineStr">
        <is>
          <t>Usabilidad móvil</t>
        </is>
      </c>
      <c r="C21" s="3" t="inlineStr"/>
      <c r="D21" s="3" t="inlineStr">
        <is>
          <t>✓</t>
        </is>
      </c>
      <c r="E21" s="3" t="inlineStr"/>
      <c r="F21" s="3" t="inlineStr"/>
      <c r="G21" s="3" t="inlineStr"/>
      <c r="H21" s="3" t="inlineStr">
        <is>
          <t>✓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n">
        <v>3</v>
      </c>
      <c r="Y21" s="3" t="n">
        <v>0</v>
      </c>
    </row>
    <row r="23">
      <c r="A23" s="7" t="inlineStr">
        <is>
          <t>Cobertura (%)</t>
        </is>
      </c>
      <c r="C23" s="8">
        <f>COUNTIF(C4:C21,"✓")/18</f>
        <v/>
      </c>
      <c r="D23" s="8">
        <f>COUNTIF(D4:D21,"✓")/18</f>
        <v/>
      </c>
      <c r="E23" s="8">
        <f>COUNTIF(E4:E21,"✓")/18</f>
        <v/>
      </c>
      <c r="F23" s="8">
        <f>COUNTIF(F4:F21,"✓")/18</f>
        <v/>
      </c>
      <c r="G23" s="8">
        <f>COUNTIF(G4:G21,"✓")/18</f>
        <v/>
      </c>
      <c r="H23" s="8">
        <f>COUNTIF(H4:H21,"✓")/18</f>
        <v/>
      </c>
      <c r="I23" s="8">
        <f>COUNTIF(I4:I21,"✓")/18</f>
        <v/>
      </c>
      <c r="J23" s="8">
        <f>COUNTIF(J4:J21,"✓")/18</f>
        <v/>
      </c>
      <c r="K23" s="8">
        <f>COUNTIF(K4:K21,"✓")/18</f>
        <v/>
      </c>
      <c r="L23" s="8">
        <f>COUNTIF(L4:L21,"✓")/18</f>
        <v/>
      </c>
      <c r="M23" s="8">
        <f>COUNTIF(M4:M21,"✓")/18</f>
        <v/>
      </c>
      <c r="N23" s="8">
        <f>COUNTIF(N4:N21,"✓")/18</f>
        <v/>
      </c>
      <c r="O23" s="8">
        <f>COUNTIF(O4:O21,"✓")/18</f>
        <v/>
      </c>
      <c r="P23" s="8">
        <f>COUNTIF(P4:P21,"✓")/18</f>
        <v/>
      </c>
      <c r="Q23" s="8">
        <f>COUNTIF(Q4:Q21,"✓")/18</f>
        <v/>
      </c>
      <c r="R23" s="8">
        <f>COUNTIF(R4:R21,"✓")/18</f>
        <v/>
      </c>
      <c r="S23" s="8">
        <f>COUNTIF(S4:S21,"✓")/18</f>
        <v/>
      </c>
      <c r="T23" s="8">
        <f>COUNTIF(T4:T21,"✓")/18</f>
        <v/>
      </c>
      <c r="U23" s="8">
        <f>COUNTIF(U4:U21,"✓")/18</f>
        <v/>
      </c>
      <c r="V23" s="8">
        <f>COUNTIF(V4:V21,"✓")/18</f>
        <v/>
      </c>
      <c r="W23" s="8">
        <f>COUNTIF(W4:W21,"✓")/18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80" customWidth="1" min="4" max="4"/>
  </cols>
  <sheetData>
    <row r="1">
      <c r="A1" s="1" t="inlineStr">
        <is>
          <t>RESUMEN Y MÉTRICAS — Dashboard de trazabilidad</t>
        </is>
      </c>
    </row>
    <row r="2">
      <c r="A2" t="inlineStr">
        <is>
          <t>Se calculan con fórmulas sobre la hoja «Matriz principal».</t>
        </is>
      </c>
    </row>
    <row r="4">
      <c r="A4" s="9" t="inlineStr">
        <is>
          <t>Total requisitos</t>
        </is>
      </c>
      <c r="B4" s="10">
        <f>COUNTA('Matriz principal'!A4:A21)</f>
        <v/>
      </c>
    </row>
    <row r="5">
      <c r="A5" s="9" t="inlineStr">
        <is>
          <t>Verificados</t>
        </is>
      </c>
      <c r="B5" s="10">
        <f>COUNTIF('Matriz principal'!N4:N21,"Verificado")</f>
        <v/>
      </c>
    </row>
    <row r="6">
      <c r="A6" s="9" t="inlineStr">
        <is>
          <t>Implementados sin verificar</t>
        </is>
      </c>
      <c r="B6" s="10">
        <f>COUNTIF('Matriz principal'!N4:N21,"Implementado")</f>
        <v/>
      </c>
    </row>
    <row r="7">
      <c r="A7" s="9" t="inlineStr">
        <is>
          <t>Aprobados, sin construir</t>
        </is>
      </c>
      <c r="B7" s="10">
        <f>COUNTIF('Matriz principal'!N4:N21,"Aprobado")</f>
        <v/>
      </c>
    </row>
    <row r="8">
      <c r="A8" s="9" t="inlineStr">
        <is>
          <t>Con pruebas fallidas</t>
        </is>
      </c>
      <c r="B8" s="10">
        <f>COUNTIF('Matriz principal'!L4:L21,"Falló*")</f>
        <v/>
      </c>
    </row>
    <row r="9">
      <c r="A9" s="9" t="inlineStr">
        <is>
          <t>Sin prueba</t>
        </is>
      </c>
      <c r="B9" s="10">
        <f>COUNTIF('Matriz principal'!L4:L21,"Sin prueba")</f>
        <v/>
      </c>
    </row>
    <row r="10">
      <c r="A10" s="9" t="inlineStr">
        <is>
          <t>Con necesidad asociada</t>
        </is>
      </c>
      <c r="B10" s="10">
        <f>COUNTIF('Matriz principal'!D4:D21,"NEG*")</f>
        <v/>
      </c>
    </row>
    <row r="11">
      <c r="A11" s="9" t="inlineStr">
        <is>
          <t>Con código</t>
        </is>
      </c>
      <c r="B11" s="10">
        <f>COUNTIF('Matriz principal'!I4:I21,"&lt;&gt;—")</f>
        <v/>
      </c>
    </row>
    <row r="12">
      <c r="A12" s="9" t="inlineStr">
        <is>
          <t>Alta prioridad</t>
        </is>
      </c>
      <c r="B12" s="10">
        <f>COUNTIF('Matriz principal'!F4:F21,"Alta")</f>
        <v/>
      </c>
    </row>
    <row r="13">
      <c r="A13" s="9" t="inlineStr">
        <is>
          <t>Media prioridad</t>
        </is>
      </c>
      <c r="B13" s="10">
        <f>COUNTIF('Matriz principal'!F4:F21,"Media")</f>
        <v/>
      </c>
    </row>
    <row r="14">
      <c r="A14" s="9" t="inlineStr">
        <is>
          <t>Baja prioridad</t>
        </is>
      </c>
      <c r="B14" s="10">
        <f>COUNTIF('Matriz principal'!F4:F21,"Baja")</f>
        <v/>
      </c>
    </row>
    <row r="15">
      <c r="A15" s="9" t="inlineStr">
        <is>
          <t>Alta prioridad verificada</t>
        </is>
      </c>
      <c r="B15" s="10">
        <f>COUNTIFS('Matriz principal'!F4:F21,"Alta",'Matriz principal'!N4:N21,"Verificado")</f>
        <v/>
      </c>
    </row>
    <row r="16">
      <c r="A16" s="7" t="inlineStr">
        <is>
          <t>Cobertura de código (%)</t>
        </is>
      </c>
      <c r="B16" s="8">
        <f>B11/B4</f>
        <v/>
      </c>
    </row>
    <row r="17">
      <c r="A17" s="7" t="inlineStr">
        <is>
          <t>Cobertura de pruebas (%)</t>
        </is>
      </c>
      <c r="B17" s="8">
        <f>1-B9/B4</f>
        <v/>
      </c>
    </row>
    <row r="18">
      <c r="A18" s="7" t="inlineStr">
        <is>
          <t>Hallazgos de auditoría abiertos</t>
        </is>
      </c>
      <c r="B18" t="n">
        <v>10</v>
      </c>
    </row>
    <row r="20">
      <c r="A20" s="7" t="inlineStr">
        <is>
          <t>ALERTAS — requisitos aprobados sin código en el prototipo</t>
        </is>
      </c>
    </row>
    <row r="21">
      <c r="A21" s="11" t="inlineStr">
        <is>
          <t>ID Req.</t>
        </is>
      </c>
      <c r="B21" s="11" t="inlineStr">
        <is>
          <t>Título</t>
        </is>
      </c>
      <c r="C21" s="11" t="inlineStr">
        <is>
          <t>Prioridad</t>
        </is>
      </c>
      <c r="D21" s="11" t="inlineStr">
        <is>
          <t>Motivo</t>
        </is>
      </c>
    </row>
    <row r="22">
      <c r="A22" s="12" t="inlineStr">
        <is>
          <t>HU-01</t>
        </is>
      </c>
      <c r="B22" s="12" t="inlineStr">
        <is>
          <t>Registrar y actualizar tripulantes</t>
        </is>
      </c>
      <c r="C22" s="12" t="inlineStr">
        <is>
          <t>Alta</t>
        </is>
      </c>
      <c r="D22" s="12" t="inlineStr">
        <is>
          <t>Registro administrativo; no cambia la decisión de asignación que valida el prototipo (U3A2, sección 7.1).</t>
        </is>
      </c>
    </row>
    <row r="23">
      <c r="A23" s="12" t="inlineStr">
        <is>
          <t>HU-02</t>
        </is>
      </c>
      <c r="B23" s="12" t="inlineStr">
        <is>
          <t>Registrar y actualizar tripulaciones</t>
        </is>
      </c>
      <c r="C23" s="12" t="inlineStr">
        <is>
          <t>Alta</t>
        </is>
      </c>
      <c r="D23" s="12" t="inlineStr">
        <is>
          <t>Registro administrativo; fuera del alcance del prototipo (U3A2, sección 7.1).</t>
        </is>
      </c>
    </row>
    <row r="24">
      <c r="A24" s="12" t="inlineStr">
        <is>
          <t>HU-03</t>
        </is>
      </c>
      <c r="B24" s="12" t="inlineStr">
        <is>
          <t>Registrar y actualizar vuelos</t>
        </is>
      </c>
      <c r="C24" s="12" t="inlineStr">
        <is>
          <t>Alta</t>
        </is>
      </c>
      <c r="D24" s="12" t="inlineStr">
        <is>
          <t>Registro administrativo; fuera del alcance del prototipo (U3A2, sección 7.1).</t>
        </is>
      </c>
    </row>
    <row r="25">
      <c r="A25" s="12" t="inlineStr">
        <is>
          <t>HU-09</t>
        </is>
      </c>
      <c r="B25" s="12" t="inlineStr">
        <is>
          <t>Alertar simulación anual pendiente</t>
        </is>
      </c>
      <c r="C25" s="12" t="inlineStr">
        <is>
          <t>Media</t>
        </is>
      </c>
      <c r="D25" s="12" t="inlineStr">
        <is>
          <t>Alerta de simulación anual; requiere calendario y notificaciones (RFC-A3, CCB 13/10/2026).</t>
        </is>
      </c>
    </row>
    <row r="26">
      <c r="A26" s="12" t="inlineStr">
        <is>
          <t>HU-10</t>
        </is>
      </c>
      <c r="B26" s="12" t="inlineStr">
        <is>
          <t>Gestionar catálogo de escenarios</t>
        </is>
      </c>
      <c r="C26" s="12" t="inlineStr">
        <is>
          <t>Media</t>
        </is>
      </c>
      <c r="D26" s="12" t="inlineStr">
        <is>
          <t>Gestión del catálogo; el prototipo trae escenarios fijos.</t>
        </is>
      </c>
    </row>
    <row r="27">
      <c r="A27" s="12" t="inlineStr">
        <is>
          <t>HU-11</t>
        </is>
      </c>
      <c r="B27" s="12" t="inlineStr">
        <is>
          <t>Reportes históricos de desempeño</t>
        </is>
      </c>
      <c r="C27" s="12" t="inlineStr">
        <is>
          <t>Baja</t>
        </is>
      </c>
      <c r="D27" s="12" t="inlineStr">
        <is>
          <t>Reportes históricos; dependen del histórico de RFC-B1.</t>
        </is>
      </c>
    </row>
    <row r="28">
      <c r="A28" s="12" t="inlineStr">
        <is>
          <t>HU-12</t>
        </is>
      </c>
      <c r="B28" s="12" t="inlineStr">
        <is>
          <t>Notificación de cambio de asignación</t>
        </is>
      </c>
      <c r="C28" s="12" t="inlineStr">
        <is>
          <t>Baja</t>
        </is>
      </c>
      <c r="D28" s="12" t="inlineStr">
        <is>
          <t>Notificaciones; dependen de RFC-A2 (Sprint 5).</t>
        </is>
      </c>
    </row>
    <row r="29">
      <c r="A29" s="12" t="inlineStr">
        <is>
          <t>RNF-03</t>
        </is>
      </c>
      <c r="B29" s="12" t="inlineStr">
        <is>
          <t>Disponibilidad continua</t>
        </is>
      </c>
      <c r="C29" s="12" t="inlineStr">
        <is>
          <t>Media</t>
        </is>
      </c>
      <c r="D29" s="12" t="inlineStr">
        <is>
          <t>Disponibilidad 24/7; no medible en un prototipo local.</t>
        </is>
      </c>
    </row>
    <row r="30">
      <c r="A30" s="12" t="inlineStr">
        <is>
          <t>RNF-04</t>
        </is>
      </c>
      <c r="B30" s="12" t="inlineStr">
        <is>
          <t>Rendimiento en consultas</t>
        </is>
      </c>
      <c r="C30" s="12" t="inlineStr">
        <is>
          <t>Media</t>
        </is>
      </c>
      <c r="D30" s="12" t="inlineStr">
        <is>
          <t>Rendimiento; sin backend no hay tiempos reales que medir.</t>
        </is>
      </c>
    </row>
    <row r="31">
      <c r="A31" s="12" t="inlineStr">
        <is>
          <t>RNF-05</t>
        </is>
      </c>
      <c r="B31" s="12" t="inlineStr">
        <is>
          <t>Integridad de la sincronización con el simulador</t>
        </is>
      </c>
      <c r="C31" s="12" t="inlineStr">
        <is>
          <t>Media</t>
        </is>
      </c>
      <c r="D31" s="12" t="inlineStr">
        <is>
          <t>Sincronización con el simulador; el simulador es externo y el prototipo no se conecta.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10" customWidth="1" min="4" max="4"/>
    <col width="26" customWidth="1" min="5" max="5"/>
    <col width="34" customWidth="1" min="6" max="6"/>
    <col width="14" customWidth="1" min="7" max="7"/>
    <col width="26" customWidth="1" min="8" max="8"/>
    <col width="32" customWidth="1" min="9" max="9"/>
    <col width="14" customWidth="1" min="10" max="10"/>
    <col width="50" customWidth="1" min="11" max="11"/>
  </cols>
  <sheetData>
    <row r="1">
      <c r="A1" s="1" t="inlineStr">
        <is>
          <t>REGISTRO DE SOLICITUDES DE CAMBIO (RFC) — CCB del 13/10/2026</t>
        </is>
      </c>
    </row>
    <row r="3">
      <c r="A3" s="2" t="inlineStr">
        <is>
          <t>ID RFC</t>
        </is>
      </c>
      <c r="B3" s="2" t="inlineStr">
        <is>
          <t>Título del cambio</t>
        </is>
      </c>
      <c r="C3" s="2" t="inlineStr">
        <is>
          <t>Origen</t>
        </is>
      </c>
      <c r="D3" s="2" t="inlineStr">
        <is>
          <t>Prioridad</t>
        </is>
      </c>
      <c r="E3" s="2" t="inlineStr">
        <is>
          <t>Requisito(s) afectados</t>
        </is>
      </c>
      <c r="F3" s="2" t="inlineStr">
        <is>
          <t>Casos de prueba propuestos</t>
        </is>
      </c>
      <c r="G3" s="2" t="inlineStr">
        <is>
          <t>Decisión del CCB</t>
        </is>
      </c>
      <c r="H3" s="2" t="inlineStr">
        <is>
          <t>Votos</t>
        </is>
      </c>
      <c r="I3" s="2" t="inlineStr">
        <is>
          <t>Plazo</t>
        </is>
      </c>
      <c r="J3" s="2" t="inlineStr">
        <is>
          <t>Responsable</t>
        </is>
      </c>
      <c r="K3" s="2" t="inlineStr">
        <is>
          <t>Estado</t>
        </is>
      </c>
    </row>
    <row r="4">
      <c r="A4" s="3" t="inlineStr">
        <is>
          <t>RFC-A3</t>
        </is>
      </c>
      <c r="B4" s="3" t="inlineStr">
        <is>
          <t>Bloquear la asignación de pilotos no aptos a vuelos críticos</t>
        </is>
      </c>
      <c r="C4" s="3" t="inlineStr">
        <is>
          <t>Actividad 4, nivel inicial · Dirección de Seguridad Operacional</t>
        </is>
      </c>
      <c r="D4" s="3" t="inlineStr">
        <is>
          <t>Crítica</t>
        </is>
      </c>
      <c r="E4" s="3" t="inlineStr">
        <is>
          <t>HU-07, HU-08, HU-09, RNF-01</t>
        </is>
      </c>
      <c r="F4" s="3" t="inlineStr">
        <is>
          <t>TC-HU08-08, TC-HU08-09, TC-RNF01-05</t>
        </is>
      </c>
      <c r="G4" s="3" t="inlineStr">
        <is>
          <t>Aprobada</t>
        </is>
      </c>
      <c r="H4" s="3" t="inlineStr">
        <is>
          <t>5 a favor, 0 en contra, 0 abstenciones</t>
        </is>
      </c>
      <c r="I4" s="3" t="inlineStr">
        <is>
          <t>Extraordinaria: antes del Sprint 4 (hasta 16/10/2026)</t>
        </is>
      </c>
      <c r="J4" s="3" t="inlineStr">
        <is>
          <t>Tech Lead</t>
        </is>
      </c>
      <c r="K4" s="3" t="inlineStr">
        <is>
          <t>Aprobada, pendiente de implementación</t>
        </is>
      </c>
    </row>
    <row r="5">
      <c r="A5" s="3" t="inlineStr">
        <is>
          <t>RFC-A1</t>
        </is>
      </c>
      <c r="B5" s="3" t="inlineStr">
        <is>
          <t>Alerta de clima extremo en la comparación de escenarios</t>
        </is>
      </c>
      <c r="C5" s="3" t="inlineStr">
        <is>
          <t>Caso A1 · Cap. Ricardo Méndez (correo electrónico)</t>
        </is>
      </c>
      <c r="D5" s="3" t="inlineStr">
        <is>
          <t>Alta</t>
        </is>
      </c>
      <c r="E5" s="3" t="inlineStr">
        <is>
          <t>HU-03, HU-05, HU-07, HU-10</t>
        </is>
      </c>
      <c r="F5" s="3" t="inlineStr">
        <is>
          <t>TC-HU03-05, TC-HU07-10, TC-HU07-11, TC-HU10-04</t>
        </is>
      </c>
      <c r="G5" s="3" t="inlineStr">
        <is>
          <t>Aprobada</t>
        </is>
      </c>
      <c r="H5" s="3" t="inlineStr">
        <is>
          <t>5 a favor, 0 en contra, 0 abstenciones</t>
        </is>
      </c>
      <c r="I5" s="3" t="inlineStr">
        <is>
          <t>Sprint 4 (26/10/2026 – 06/11/2026)</t>
        </is>
      </c>
      <c r="J5" s="3" t="inlineStr">
        <is>
          <t>Tech Lead</t>
        </is>
      </c>
      <c r="K5" s="3" t="inlineStr">
        <is>
          <t>Aprobada, pendiente de implementación</t>
        </is>
      </c>
    </row>
    <row r="6">
      <c r="A6" s="3" t="inlineStr">
        <is>
          <t>RFC-A2</t>
        </is>
      </c>
      <c r="B6" s="3" t="inlineStr">
        <is>
          <t>Notificación automática de la asignación por Teams y correo</t>
        </is>
      </c>
      <c r="C6" s="3" t="inlineStr">
        <is>
          <t>Caso A2 · Gerencia de Gestión Operativa (Informe de Gestión)</t>
        </is>
      </c>
      <c r="D6" s="3" t="inlineStr">
        <is>
          <t>Media</t>
        </is>
      </c>
      <c r="E6" s="3" t="inlineStr">
        <is>
          <t>HU-08, HU-12, RNF-02</t>
        </is>
      </c>
      <c r="F6" s="3" t="inlineStr">
        <is>
          <t>TC-HU08-07, TC-HU12-03, TC-RNF02-04</t>
        </is>
      </c>
      <c r="G6" s="3" t="inlineStr">
        <is>
          <t>Aprobada con condiciones</t>
        </is>
      </c>
      <c r="H6" s="3" t="inlineStr">
        <is>
          <t>4 a favor, 0 en contra, 1 abstención</t>
        </is>
      </c>
      <c r="I6" s="3" t="inlineStr">
        <is>
          <t>Sprint 5 (09/11/2026 – 20/11/2026)</t>
        </is>
      </c>
      <c r="J6" s="3" t="inlineStr">
        <is>
          <t>Tech Lead</t>
        </is>
      </c>
      <c r="K6" s="3" t="inlineStr">
        <is>
          <t>Aprobada, pendiente de implementación</t>
        </is>
      </c>
    </row>
    <row r="7">
      <c r="A7" s="3" t="inlineStr">
        <is>
          <t>RFC-C4</t>
        </is>
      </c>
      <c r="B7" s="3" t="inlineStr">
        <is>
          <t>Más frecuencia de simulaciones por piloto y escenario</t>
        </is>
      </c>
      <c r="C7" s="3" t="inlineStr">
        <is>
          <t>Actividad 3, nivel avanzado · Dirección de Entrenamiento</t>
        </is>
      </c>
      <c r="D7" s="3" t="inlineStr">
        <is>
          <t>Alta</t>
        </is>
      </c>
      <c r="E7" s="3" t="inlineStr">
        <is>
          <t>HU-06, HU-09, HU-11</t>
        </is>
      </c>
      <c r="F7" s="3" t="inlineStr">
        <is>
          <t>TC-HU09-04, TC-HU06-05</t>
        </is>
      </c>
      <c r="G7" s="3" t="inlineStr">
        <is>
          <t>Aprobada (prioridad sobre RFC-C3)</t>
        </is>
      </c>
      <c r="H7" s="3" t="inlineStr">
        <is>
          <t>3 a favor, 2 en contra, 0 abstenciones</t>
        </is>
      </c>
      <c r="I7" s="3" t="inlineStr">
        <is>
          <t>Sprint 4 (26/10/2026 – 06/11/2026)</t>
        </is>
      </c>
      <c r="J7" s="3" t="inlineStr">
        <is>
          <t>Product Owner</t>
        </is>
      </c>
      <c r="K7" s="3" t="inlineStr">
        <is>
          <t>Aprobada, pendiente de implementación</t>
        </is>
      </c>
    </row>
    <row r="8">
      <c r="A8" s="3" t="inlineStr">
        <is>
          <t>RFC-B1</t>
        </is>
      </c>
      <c r="B8" s="3" t="inlineStr">
        <is>
          <t>Puntuación por promedio de las últimas 3 simulaciones</t>
        </is>
      </c>
      <c r="C8" s="3" t="inlineStr">
        <is>
          <t>Caso B1 · Ing. Sofía Valdés (memorando de QA)</t>
        </is>
      </c>
      <c r="D8" s="3" t="inlineStr">
        <is>
          <t>Alta</t>
        </is>
      </c>
      <c r="E8" s="3" t="inlineStr">
        <is>
          <t>HU-06, HU-07, HU-08, HU-11, RNF-02, RNF-05</t>
        </is>
      </c>
      <c r="F8" s="3" t="inlineStr">
        <is>
          <t>TC-HU06-03, TC-HU07-12, TC-HU07-14, TC-HU08-10, TC-HU11-05, TC-RNF05-03</t>
        </is>
      </c>
      <c r="G8" s="3" t="inlineStr">
        <is>
          <t>Aprobada (paquete PAQ-01 con RFC-C2)</t>
        </is>
      </c>
      <c r="H8" s="3" t="inlineStr">
        <is>
          <t>5 a favor, 0 en contra, 0 abstenciones</t>
        </is>
      </c>
      <c r="I8" s="3" t="inlineStr">
        <is>
          <t>Sprints 4 a 5 (26/10/2026 – 20/11/2026)</t>
        </is>
      </c>
      <c r="J8" s="3" t="inlineStr">
        <is>
          <t>Tech Lead</t>
        </is>
      </c>
      <c r="K8" s="3" t="inlineStr">
        <is>
          <t>Aprobada, pendiente de implementación</t>
        </is>
      </c>
    </row>
    <row r="9">
      <c r="A9" s="3" t="inlineStr">
        <is>
          <t>RFC-C2</t>
        </is>
      </c>
      <c r="B9" s="3" t="inlineStr">
        <is>
          <t>Alineación con NAC-2026: certificación por estabilidad de competencias</t>
        </is>
      </c>
      <c r="C9" s="3" t="inlineStr">
        <is>
          <t>Caso C2 · Autoridad de Aviación Civil (circular)</t>
        </is>
      </c>
      <c r="D9" s="3" t="inlineStr">
        <is>
          <t>Alta</t>
        </is>
      </c>
      <c r="E9" s="3" t="inlineStr">
        <is>
          <t>HU-06, HU-07, HU-08, HU-11, RNF-02</t>
        </is>
      </c>
      <c r="F9" s="3" t="inlineStr">
        <is>
          <t>TC-HU07-13, TC-HU08-11, TC-REG-01, TC-HU11-06</t>
        </is>
      </c>
      <c r="G9" s="3" t="inlineStr">
        <is>
          <t>Aprobada (paquete PAQ-01 con RFC-B1)</t>
        </is>
      </c>
      <c r="H9" s="3" t="inlineStr">
        <is>
          <t>5 a favor, 0 en contra, 0 abstenciones</t>
        </is>
      </c>
      <c r="I9" s="3" t="inlineStr">
        <is>
          <t>Sprints 4 a 6 (26/10/2026 – 04/12/2026)</t>
        </is>
      </c>
      <c r="J9" s="3" t="inlineStr">
        <is>
          <t>Tech Lead</t>
        </is>
      </c>
      <c r="K9" s="3" t="inlineStr">
        <is>
          <t>Aprobada, pendiente de implementación</t>
        </is>
      </c>
    </row>
    <row r="10">
      <c r="A10" s="3" t="inlineStr">
        <is>
          <t>RFC-B2</t>
        </is>
      </c>
      <c r="B10" s="3" t="inlineStr">
        <is>
          <t>Fórmula híbrida 70 % simulación y 30 % horas reales</t>
        </is>
      </c>
      <c r="C10" s="3" t="inlineStr"/>
      <c r="D10" s="3" t="inlineStr"/>
      <c r="E10" s="3" t="inlineStr"/>
      <c r="F10" s="3" t="inlineStr"/>
      <c r="G10" s="3" t="inlineStr">
        <is>
          <t>Aplazada</t>
        </is>
      </c>
      <c r="H10" s="3" t="inlineStr">
        <is>
          <t>2 a favor, 2 en contra, 1 abstención</t>
        </is>
      </c>
      <c r="I10" s="3" t="inlineStr"/>
      <c r="J10" s="3" t="inlineStr"/>
      <c r="K10" s="3" t="inlineStr">
        <is>
          <t>Empate sin mayoría. Faltan las horas de vuelo por piloto (hoy se guardan por tripulación) y Cumplimiento debe confirmar que no contradice NAC-2026.</t>
        </is>
      </c>
    </row>
    <row r="11">
      <c r="A11" s="3" t="inlineStr">
        <is>
          <t>RFC-B3</t>
        </is>
      </c>
      <c r="B11" s="3" t="inlineStr">
        <is>
          <t>Eliminar la validación manual del operador</t>
        </is>
      </c>
      <c r="C11" s="3" t="inlineStr"/>
      <c r="D11" s="3" t="inlineStr"/>
      <c r="E11" s="3" t="inlineStr"/>
      <c r="F11" s="3" t="inlineStr"/>
      <c r="G11" s="3" t="inlineStr">
        <is>
          <t>Rechazada</t>
        </is>
      </c>
      <c r="H11" s="3" t="inlineStr">
        <is>
          <t>1 a favor, 4 en contra, 0 abstenciones</t>
        </is>
      </c>
      <c r="I11" s="3" t="inlineStr"/>
      <c r="J11" s="3" t="inlineStr"/>
      <c r="K11" s="3" t="inlineStr">
        <is>
          <t>El riesgo de seguridad supera el beneficio de eficiencia. Se podrá presentar una RFC nueva de validación por excepción cuando RFC-A3 y RFC-A1 estén en producción.</t>
        </is>
      </c>
    </row>
    <row r="12">
      <c r="A12" s="3" t="inlineStr">
        <is>
          <t>RFC-C1</t>
        </is>
      </c>
      <c r="B12" s="3" t="inlineStr">
        <is>
          <t>IA predictiva de escenarios</t>
        </is>
      </c>
      <c r="C12" s="3" t="inlineStr"/>
      <c r="D12" s="3" t="inlineStr"/>
      <c r="E12" s="3" t="inlineStr"/>
      <c r="F12" s="3" t="inlineStr"/>
      <c r="G12" s="3" t="inlineStr">
        <is>
          <t>Rechazada</t>
        </is>
      </c>
      <c r="H12" s="3" t="inlineStr">
        <is>
          <t>0 a favor, 4 en contra, 1 abstención</t>
        </is>
      </c>
      <c r="I12" s="3" t="inlineStr"/>
      <c r="J12" s="3" t="inlineStr"/>
      <c r="K12" s="3" t="inlineStr">
        <is>
          <t>Modelo de caja negra que no se puede justificar ante auditorías, y no hay datos etiquetados para entrenarlo.</t>
        </is>
      </c>
    </row>
    <row r="13">
      <c r="A13" s="3" t="inlineStr">
        <is>
          <t>RFC-C3</t>
        </is>
      </c>
      <c r="B13" s="3" t="inlineStr">
        <is>
          <t>Mejora de la interfaz de consulta</t>
        </is>
      </c>
      <c r="C13" s="3" t="inlineStr"/>
      <c r="D13" s="3" t="inlineStr"/>
      <c r="E13" s="3" t="inlineStr"/>
      <c r="F13" s="3" t="inlineStr"/>
      <c r="G13" s="3" t="inlineStr">
        <is>
          <t>Aplazada</t>
        </is>
      </c>
      <c r="H13" s="3" t="inlineStr">
        <is>
          <t>Se priorizó RFC-C4 (3 a 2)</t>
        </is>
      </c>
      <c r="I13" s="3" t="inlineStr"/>
      <c r="J13" s="3" t="inlineStr"/>
      <c r="K13" s="3" t="inlineStr">
        <is>
          <t>No tiene efecto en seguridad ni cumplimiento. Se revisa al terminar el Sprint 6.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9" customWidth="1" min="4" max="4"/>
    <col width="40" customWidth="1" min="5" max="5"/>
    <col width="18" customWidth="1" min="6" max="6"/>
    <col width="20" customWidth="1" min="7" max="7"/>
    <col width="14" customWidth="1" min="8" max="8"/>
    <col width="36" customWidth="1" min="9" max="9"/>
    <col width="55" customWidth="1" min="10" max="10"/>
    <col width="8" customWidth="1" min="11" max="11"/>
  </cols>
  <sheetData>
    <row r="1">
      <c r="A1" s="1" t="inlineStr">
        <is>
          <t>CATÁLOGO DE ARTEFACTOS — metadatos</t>
        </is>
      </c>
    </row>
    <row r="3">
      <c r="A3" s="2" t="inlineStr">
        <is>
          <t>ID Artefacto</t>
        </is>
      </c>
      <c r="B3" s="2" t="inlineStr">
        <is>
          <t>Nombre</t>
        </is>
      </c>
      <c r="C3" s="2" t="inlineStr">
        <is>
          <t>Tipo</t>
        </is>
      </c>
      <c r="D3" s="2" t="inlineStr">
        <is>
          <t>Versión</t>
        </is>
      </c>
      <c r="E3" s="2" t="inlineStr">
        <is>
          <t>Estado final</t>
        </is>
      </c>
      <c r="F3" s="2" t="inlineStr">
        <is>
          <t>Autor</t>
        </is>
      </c>
      <c r="G3" s="2" t="inlineStr">
        <is>
          <t>Revisor</t>
        </is>
      </c>
      <c r="H3" s="2" t="inlineStr">
        <is>
          <t>Fecha de cierre</t>
        </is>
      </c>
      <c r="I3" s="2" t="inlineStr">
        <is>
          <t>Artefactos relacionados</t>
        </is>
      </c>
      <c r="J3" s="2" t="inlineStr">
        <is>
          <t>Archivos</t>
        </is>
      </c>
      <c r="K3" s="2" t="inlineStr">
        <is>
          <t>En git</t>
        </is>
      </c>
    </row>
    <row r="4">
      <c r="A4" s="3" t="inlineStr">
        <is>
          <t>TRI-PBL-001</t>
        </is>
      </c>
      <c r="B4" s="3" t="inlineStr">
        <is>
          <t>Product Backlog</t>
        </is>
      </c>
      <c r="C4" s="3" t="inlineStr">
        <is>
          <t>Product Backlog (18 ítems)</t>
        </is>
      </c>
      <c r="D4" s="3" t="inlineStr">
        <is>
          <t>1.0</t>
        </is>
      </c>
      <c r="E4" s="3" t="inlineStr">
        <is>
          <t>Aprobado, 1 iteración</t>
        </is>
      </c>
      <c r="F4" s="3" t="inlineStr">
        <is>
          <t>Federico Márquez</t>
        </is>
      </c>
      <c r="G4" s="3" t="inlineStr">
        <is>
          <t>Pendiente (docente)</t>
        </is>
      </c>
      <c r="H4" s="3" t="inlineStr">
        <is>
          <t>2026-10-13</t>
        </is>
      </c>
      <c r="I4" s="3" t="inlineStr">
        <is>
          <t>TRI-RFC-002, TRI-PRO-003, TRI-MTZ-007</t>
        </is>
      </c>
      <c r="J4" s="3" t="inlineStr">
        <is>
          <t>Backlog/Product_backlog.html
Backlog/Product_backlog.reqw</t>
        </is>
      </c>
      <c r="K4" s="3" t="inlineStr">
        <is>
          <t>Sí</t>
        </is>
      </c>
    </row>
    <row r="5">
      <c r="A5" s="3" t="inlineStr">
        <is>
          <t>TRI-RFC-002</t>
        </is>
      </c>
      <c r="B5" s="3" t="inlineStr">
        <is>
          <t>Solicitudes de cambio</t>
        </is>
      </c>
      <c r="C5" s="3" t="inlineStr">
        <is>
          <t>RFC (10 solicitudes)</t>
        </is>
      </c>
      <c r="D5" s="3" t="inlineStr">
        <is>
          <t>1.0</t>
        </is>
      </c>
      <c r="E5" s="3" t="inlineStr">
        <is>
          <t>Entregado, 1 iteración. Decisiones tomadas en TRI-CCB-006</t>
        </is>
      </c>
      <c r="F5" s="3" t="inlineStr">
        <is>
          <t>Federico Márquez</t>
        </is>
      </c>
      <c r="G5" s="3" t="inlineStr">
        <is>
          <t>Pendiente (docente)</t>
        </is>
      </c>
      <c r="H5" s="3" t="inlineStr">
        <is>
          <t>2026-10-13</t>
        </is>
      </c>
      <c r="I5" s="3" t="inlineStr">
        <is>
          <t>TRI-PBL-001, TRI-CCB-006, TRI-DOC-005</t>
        </is>
      </c>
      <c r="J5" s="3" t="inlineStr">
        <is>
          <t>U3A1-RFC/RFC_Solicitudes_de_Cambio.pdf
U3A1-RFC/RFC_Solicitudes_de_Cambio.docx</t>
        </is>
      </c>
      <c r="K5" s="3" t="inlineStr">
        <is>
          <t>Sí</t>
        </is>
      </c>
    </row>
    <row r="6">
      <c r="A6" s="3" t="inlineStr">
        <is>
          <t>TRI-PRO-003</t>
        </is>
      </c>
      <c r="B6" s="3" t="inlineStr">
        <is>
          <t>Prototipo de baja fidelidad</t>
        </is>
      </c>
      <c r="C6" s="3" t="inlineStr">
        <is>
          <t>Prototipo (HTML)</t>
        </is>
      </c>
      <c r="D6" s="3" t="inlineStr">
        <is>
          <t>0.2</t>
        </is>
      </c>
      <c r="E6" s="3" t="inlineStr">
        <is>
          <t>Validado con 30 pruebas automáticas; 7 defectos abiertos (DEF-01, DEF-06 a DEF-11)</t>
        </is>
      </c>
      <c r="F6" s="3" t="inlineStr">
        <is>
          <t>Federico Márquez</t>
        </is>
      </c>
      <c r="G6" s="3" t="inlineStr">
        <is>
          <t>Pendiente (docente)</t>
        </is>
      </c>
      <c r="H6" s="3" t="inlineStr">
        <is>
          <t>2026-10-13</t>
        </is>
      </c>
      <c r="I6" s="3" t="inlineStr">
        <is>
          <t>TRI-PBL-001, TRI-PRU-004, TRI-DOC-005, TRI-MTZ-007</t>
        </is>
      </c>
      <c r="J6" s="3" t="inlineStr">
        <is>
          <t>U3A2-Prototipado/prototipo/index.html</t>
        </is>
      </c>
      <c r="K6" s="3" t="inlineStr">
        <is>
          <t>Sí</t>
        </is>
      </c>
    </row>
    <row r="7">
      <c r="A7" s="3" t="inlineStr">
        <is>
          <t>TRI-PRU-004</t>
        </is>
      </c>
      <c r="B7" s="3" t="inlineStr">
        <is>
          <t>Pruebas del prototipo</t>
        </is>
      </c>
      <c r="C7" s="3" t="inlineStr">
        <is>
          <t>Casos de prueba automatizados</t>
        </is>
      </c>
      <c r="D7" s="3" t="inlineStr">
        <is>
          <t>1.0</t>
        </is>
      </c>
      <c r="E7" s="3" t="inlineStr">
        <is>
          <t>30 de 30 aprobadas</t>
        </is>
      </c>
      <c r="F7" s="3" t="inlineStr">
        <is>
          <t>Federico Márquez</t>
        </is>
      </c>
      <c r="G7" s="3" t="inlineStr">
        <is>
          <t>Pendiente (docente)</t>
        </is>
      </c>
      <c r="H7" s="3" t="inlineStr">
        <is>
          <t>2026-10-14</t>
        </is>
      </c>
      <c r="I7" s="3" t="inlineStr">
        <is>
          <t>TRI-PRO-003, TRI-PBL-001, TRI-MTZ-007</t>
        </is>
      </c>
      <c r="J7" s="3" t="inlineStr">
        <is>
          <t>U3A2-Prototipado/pruebas/test_prototipo.py
U3A2-Prototipado/pruebas/resultados_pruebas.json
U3A2-Prototipado/pruebas/ruta_usuario.py
U3A2-Prototipado/pruebas/ruta_usuario.json
U3A2-Prototipado/pruebas/prototipo_v0.1_evidencia.html
U3A2-Prototipado/pruebas/capturas
U3A2-Prototipado/pruebas/capturas_v01</t>
        </is>
      </c>
      <c r="K7" s="3" t="inlineStr">
        <is>
          <t>Sí</t>
        </is>
      </c>
    </row>
    <row r="8">
      <c r="A8" s="3" t="inlineStr">
        <is>
          <t>TRI-DOC-005</t>
        </is>
      </c>
      <c r="B8" s="3" t="inlineStr">
        <is>
          <t>Prototipado y CCB (U3A2)</t>
        </is>
      </c>
      <c r="C8" s="3" t="inlineStr">
        <is>
          <t>Informe</t>
        </is>
      </c>
      <c r="D8" s="3" t="inlineStr">
        <is>
          <t>1.0</t>
        </is>
      </c>
      <c r="E8" s="3" t="inlineStr">
        <is>
          <t>Entregado, 1 iteración</t>
        </is>
      </c>
      <c r="F8" s="3" t="inlineStr">
        <is>
          <t>Federico Márquez</t>
        </is>
      </c>
      <c r="G8" s="3" t="inlineStr">
        <is>
          <t>Pendiente (docente)</t>
        </is>
      </c>
      <c r="H8" s="3" t="inlineStr">
        <is>
          <t>2026-10-14</t>
        </is>
      </c>
      <c r="I8" s="3" t="inlineStr">
        <is>
          <t>TRI-PRO-003, TRI-PRU-004, TRI-CCB-006, TRI-RFC-002</t>
        </is>
      </c>
      <c r="J8" s="3" t="inlineStr">
        <is>
          <t>U3A2-Prototipado/U3A2_Prototipado_CCB_Federico_Marquez.pdf
U3A2-Prototipado/U3A2_Prototipado_CCB_Federico_Marquez.docx</t>
        </is>
      </c>
      <c r="K8" s="3" t="inlineStr">
        <is>
          <t>Sí</t>
        </is>
      </c>
    </row>
    <row r="9">
      <c r="A9" s="3" t="inlineStr">
        <is>
          <t>TRI-CCB-006</t>
        </is>
      </c>
      <c r="B9" s="3" t="inlineStr">
        <is>
          <t>Decisiones del CCB</t>
        </is>
      </c>
      <c r="C9" s="3" t="inlineStr">
        <is>
          <t>Acta del CCB (datos)</t>
        </is>
      </c>
      <c r="D9" s="3" t="inlineStr">
        <is>
          <t>1.0</t>
        </is>
      </c>
      <c r="E9" s="3" t="inlineStr">
        <is>
          <t>Reunión simulada del 13/10/2026; 6 RFC aprobadas, 4 sin aprobar</t>
        </is>
      </c>
      <c r="F9" s="3" t="inlineStr">
        <is>
          <t>Federico Márquez</t>
        </is>
      </c>
      <c r="G9" s="3" t="inlineStr">
        <is>
          <t>Pendiente (docente)</t>
        </is>
      </c>
      <c r="H9" s="3" t="inlineStr">
        <is>
          <t>2026-10-13</t>
        </is>
      </c>
      <c r="I9" s="3" t="inlineStr">
        <is>
          <t>TRI-RFC-002, TRI-DOC-005, TRI-MTZ-007</t>
        </is>
      </c>
      <c r="J9" s="3" t="inlineStr">
        <is>
          <t>U3A2-Prototipado/trazabilidad/cambios_aprobados.json</t>
        </is>
      </c>
      <c r="K9" s="3" t="inlineStr">
        <is>
          <t>Sí</t>
        </is>
      </c>
    </row>
    <row r="10">
      <c r="A10" s="3" t="inlineStr">
        <is>
          <t>TRI-MTZ-007</t>
        </is>
      </c>
      <c r="B10" s="3" t="inlineStr">
        <is>
          <t>Matriz de trazabilidad</t>
        </is>
      </c>
      <c r="C10" s="3" t="inlineStr">
        <is>
          <t>Matriz de trazabilidad (generada)</t>
        </is>
      </c>
      <c r="D10" s="3" t="inlineStr">
        <is>
          <t>1.0</t>
        </is>
      </c>
      <c r="E10" s="3" t="inlineStr">
        <is>
          <t>Generada por script; auditada en TRI-AUD-008</t>
        </is>
      </c>
      <c r="F10" s="3" t="inlineStr">
        <is>
          <t>Federico Márquez</t>
        </is>
      </c>
      <c r="G10" s="3" t="inlineStr">
        <is>
          <t>Pendiente (docente)</t>
        </is>
      </c>
      <c r="H10" s="3" t="inlineStr">
        <is>
          <t>2026-10-15</t>
        </is>
      </c>
      <c r="I10" s="3" t="inlineStr">
        <is>
          <t>TRI-PBL-001, TRI-PRO-003, TRI-PRU-004, TRI-CCB-006, TRI-AUD-008, TRI-SCR-009</t>
        </is>
      </c>
      <c r="J10" s="3" t="inlineStr">
        <is>
          <t>U4A1-Trazabilidad/Matriz_trazabilidad.xlsx
U3A2-Prototipado/trazabilidad/Matriz_trazabilidad.md
U3A2-Prototipado/trazabilidad/Matriz_trazabilidad.csv</t>
        </is>
      </c>
      <c r="K10" s="3" t="inlineStr">
        <is>
          <t>Sí</t>
        </is>
      </c>
    </row>
    <row r="11">
      <c r="A11" s="3" t="inlineStr">
        <is>
          <t>TRI-AUD-008</t>
        </is>
      </c>
      <c r="B11" s="3" t="inlineStr">
        <is>
          <t>Auditoría de trazabilidad</t>
        </is>
      </c>
      <c r="C11" s="3" t="inlineStr">
        <is>
          <t>Informe de auditoría (generado)</t>
        </is>
      </c>
      <c r="D11" s="3" t="inlineStr">
        <is>
          <t>1.0</t>
        </is>
      </c>
      <c r="E11" s="3" t="inlineStr">
        <is>
          <t>Realizada; hallazgos abiertos con responsable</t>
        </is>
      </c>
      <c r="F11" s="3" t="inlineStr">
        <is>
          <t>Federico Márquez</t>
        </is>
      </c>
      <c r="G11" s="3" t="inlineStr">
        <is>
          <t>Pendiente (docente)</t>
        </is>
      </c>
      <c r="H11" s="3" t="inlineStr">
        <is>
          <t>2026-10-15</t>
        </is>
      </c>
      <c r="I11" s="3" t="inlineStr">
        <is>
          <t>TRI-MTZ-007, TRI-SCR-009, TRI-PBL-001</t>
        </is>
      </c>
      <c r="J11" s="3" t="inlineStr">
        <is>
          <t>U4A1-Trazabilidad/Auditoria_trazabilidad.md
U4A1-Trazabilidad/U4A1_Trazabilidad_Federico_Marquez.pdf
U4A1-Trazabilidad/U4A1_Trazabilidad_Federico_Marquez.docx</t>
        </is>
      </c>
      <c r="K11" s="3" t="inlineStr">
        <is>
          <t>Sí</t>
        </is>
      </c>
    </row>
    <row r="12">
      <c r="A12" s="3" t="inlineStr">
        <is>
          <t>TRI-SCR-009</t>
        </is>
      </c>
      <c r="B12" s="3" t="inlineStr">
        <is>
          <t>Herramienta de trazabilidad</t>
        </is>
      </c>
      <c r="C12" s="3" t="inlineStr">
        <is>
          <t>Script (Python)</t>
        </is>
      </c>
      <c r="D12" s="3" t="inlineStr">
        <is>
          <t>1.0</t>
        </is>
      </c>
      <c r="E12" s="3" t="inlineStr">
        <is>
          <t>Operativa</t>
        </is>
      </c>
      <c r="F12" s="3" t="inlineStr">
        <is>
          <t>Federico Márquez</t>
        </is>
      </c>
      <c r="G12" s="3" t="inlineStr">
        <is>
          <t>Pendiente (docente)</t>
        </is>
      </c>
      <c r="H12" s="3" t="inlineStr">
        <is>
          <t>2026-10-15</t>
        </is>
      </c>
      <c r="I12" s="3" t="inlineStr">
        <is>
          <t>TRI-MTZ-007, TRI-AUD-008, TRI-CCB-006</t>
        </is>
      </c>
      <c r="J12" s="3" t="inlineStr">
        <is>
          <t>U4A1-Trazabilidad/herramienta.py
U3A2-Prototipado/trazabilidad/generar_matriz.py
U4A1-Trazabilidad/necesidades.json
U4A1-Trazabilidad/catalogo_artefactos.json</t>
        </is>
      </c>
      <c r="K12" s="3" t="inlineStr">
        <is>
          <t>Sí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70" customWidth="1" min="4" max="4"/>
    <col width="24" customWidth="1" min="5" max="5"/>
    <col width="11" customWidth="1" min="6" max="6"/>
    <col width="22" customWidth="1" min="7" max="7"/>
    <col width="55" customWidth="1" min="8" max="8"/>
  </cols>
  <sheetData>
    <row r="1">
      <c r="A1" s="1" t="inlineStr">
        <is>
          <t>AUDITORÍA DE TRAZABILIDAD END-TO-END</t>
        </is>
      </c>
    </row>
    <row r="3">
      <c r="A3" s="2" t="inlineStr">
        <is>
          <t>ID</t>
        </is>
      </c>
      <c r="B3" s="2" t="inlineStr">
        <is>
          <t>Tipo de ruptura</t>
        </is>
      </c>
      <c r="C3" s="2" t="inlineStr">
        <is>
          <t>Elemento</t>
        </is>
      </c>
      <c r="D3" s="2" t="inlineStr">
        <is>
          <t>Detalle</t>
        </is>
      </c>
      <c r="E3" s="2" t="inlineStr">
        <is>
          <t>Estado</t>
        </is>
      </c>
      <c r="F3" s="2" t="inlineStr">
        <is>
          <t>Severidad</t>
        </is>
      </c>
      <c r="G3" s="2" t="inlineStr">
        <is>
          <t>Responsable</t>
        </is>
      </c>
      <c r="H3" s="2" t="inlineStr">
        <is>
          <t>Acción</t>
        </is>
      </c>
    </row>
    <row r="4">
      <c r="A4" s="3" t="inlineStr">
        <is>
          <t>AUD-01</t>
        </is>
      </c>
      <c r="B4" s="3" t="inlineStr">
        <is>
          <t>RFC → prueba</t>
        </is>
      </c>
      <c r="C4" s="3" t="inlineStr">
        <is>
          <t>RFC-A3</t>
        </is>
      </c>
      <c r="D4" s="3" t="inlineStr">
        <is>
          <t>3 casos de prueba propuestos sin implementar (TC-HU08-08, TC-HU08-09, TC-RNF01-05).</t>
        </is>
      </c>
      <c r="E4" s="3" t="inlineStr">
        <is>
          <t>Abierto</t>
        </is>
      </c>
      <c r="F4" s="13" t="inlineStr">
        <is>
          <t>Alto</t>
        </is>
      </c>
      <c r="G4" s="3" t="inlineStr">
        <is>
          <t>QA Lead</t>
        </is>
      </c>
      <c r="H4" s="3" t="inlineStr">
        <is>
          <t>Escribirlos al construir el cambio. Plazo: Extraordinaria: antes del Sprint 4 (hasta 16/10/2026).</t>
        </is>
      </c>
    </row>
    <row r="5">
      <c r="A5" s="3" t="inlineStr">
        <is>
          <t>AUD-02</t>
        </is>
      </c>
      <c r="B5" s="3" t="inlineStr">
        <is>
          <t>Artefacto ausente</t>
        </is>
      </c>
      <c r="C5" s="3" t="inlineStr">
        <is>
          <t>M-02</t>
        </is>
      </c>
      <c r="D5" s="3" t="inlineStr">
        <is>
          <t>El Vision Board (fuente de las necesidades NEG-01 a NEG-05) no está en el repositorio propio.</t>
        </is>
      </c>
      <c r="E5" s="3" t="inlineStr">
        <is>
          <t>Abierto</t>
        </is>
      </c>
      <c r="F5" s="14" t="inlineStr">
        <is>
          <t>Medio</t>
        </is>
      </c>
      <c r="G5" s="3" t="inlineStr">
        <is>
          <t>Autor</t>
        </is>
      </c>
      <c r="H5" s="3" t="inlineStr">
        <is>
          <t>Agregar el Vision Board como artefacto TRI-VIS y enlazarlo desde las necesidades.</t>
        </is>
      </c>
    </row>
    <row r="6">
      <c r="A6" s="3" t="inlineStr">
        <is>
          <t>AUD-03</t>
        </is>
      </c>
      <c r="B6" s="3" t="inlineStr">
        <is>
          <t>Backlog desactualizado</t>
        </is>
      </c>
      <c r="C6" s="3" t="inlineStr">
        <is>
          <t>M-03</t>
        </is>
      </c>
      <c r="D6" s="3" t="inlineStr">
        <is>
          <t>El backlog (v1.0) no refleja las decisiones del CCB del 13/10/2026 (por ejemplo, el promedio de 3 simulaciones de RFC-B1 y el motivo obligatorio de RFC-A3).</t>
        </is>
      </c>
      <c r="E6" s="3" t="inlineStr">
        <is>
          <t>Abierto</t>
        </is>
      </c>
      <c r="F6" s="14" t="inlineStr">
        <is>
          <t>Medio</t>
        </is>
      </c>
      <c r="G6" s="3" t="inlineStr">
        <is>
          <t>Analista de requisitos</t>
        </is>
      </c>
      <c r="H6" s="3" t="inlineStr">
        <is>
          <t>Publicar backlog v1.1 con los criterios de aceptación de las RFC aprobadas.</t>
        </is>
      </c>
    </row>
    <row r="7">
      <c r="A7" s="3" t="inlineStr">
        <is>
          <t>AUD-04</t>
        </is>
      </c>
      <c r="B7" s="3" t="inlineStr">
        <is>
          <t>Código → requisito</t>
        </is>
      </c>
      <c r="C7" s="3" t="inlineStr">
        <is>
          <t>vEvaluacion</t>
        </is>
      </c>
      <c r="D7" s="3" t="inlineStr">
        <is>
          <t>La función vEvaluacion del prototipo no tiene marca @trace: implementa una pantalla sin requisito en el backlog (consulta de escenarios y evaluación del piloto, que el caso describe).</t>
        </is>
      </c>
      <c r="E7" s="3" t="inlineStr">
        <is>
          <t>Abierto</t>
        </is>
      </c>
      <c r="F7" s="14" t="inlineStr">
        <is>
          <t>Medio</t>
        </is>
      </c>
      <c r="G7" s="3" t="inlineStr">
        <is>
          <t>Analista de requisitos</t>
        </is>
      </c>
      <c r="H7" s="3" t="inlineStr">
        <is>
          <t>Agregar una historia de usuario al backlog para la consulta de escenarios y marcar la función.</t>
        </is>
      </c>
    </row>
    <row r="8">
      <c r="A8" s="3" t="inlineStr">
        <is>
          <t>AUD-05</t>
        </is>
      </c>
      <c r="B8" s="3" t="inlineStr">
        <is>
          <t>RFC → prueba</t>
        </is>
      </c>
      <c r="C8" s="3" t="inlineStr">
        <is>
          <t>RFC-A1</t>
        </is>
      </c>
      <c r="D8" s="3" t="inlineStr">
        <is>
          <t>4 casos de prueba propuestos sin implementar (TC-HU03-05, TC-HU07-10, TC-HU07-11, TC-HU10-04).</t>
        </is>
      </c>
      <c r="E8" s="3" t="inlineStr">
        <is>
          <t>Abierto</t>
        </is>
      </c>
      <c r="F8" s="14" t="inlineStr">
        <is>
          <t>Medio</t>
        </is>
      </c>
      <c r="G8" s="3" t="inlineStr">
        <is>
          <t>QA Lead</t>
        </is>
      </c>
      <c r="H8" s="3" t="inlineStr">
        <is>
          <t>Escribirlos al construir el cambio. Plazo: Sprint 4 (26/10/2026 – 06/11/2026).</t>
        </is>
      </c>
    </row>
    <row r="9">
      <c r="A9" s="3" t="inlineStr">
        <is>
          <t>AUD-06</t>
        </is>
      </c>
      <c r="B9" s="3" t="inlineStr">
        <is>
          <t>RFC → prueba</t>
        </is>
      </c>
      <c r="C9" s="3" t="inlineStr">
        <is>
          <t>RFC-A2</t>
        </is>
      </c>
      <c r="D9" s="3" t="inlineStr">
        <is>
          <t>3 casos de prueba propuestos sin implementar (TC-HU08-07, TC-HU12-03, TC-RNF02-04).</t>
        </is>
      </c>
      <c r="E9" s="3" t="inlineStr">
        <is>
          <t>Abierto</t>
        </is>
      </c>
      <c r="F9" s="14" t="inlineStr">
        <is>
          <t>Medio</t>
        </is>
      </c>
      <c r="G9" s="3" t="inlineStr">
        <is>
          <t>QA Lead</t>
        </is>
      </c>
      <c r="H9" s="3" t="inlineStr">
        <is>
          <t>Escribirlos al construir el cambio. Plazo: Sprint 5 (09/11/2026 – 20/11/2026).</t>
        </is>
      </c>
    </row>
    <row r="10">
      <c r="A10" s="3" t="inlineStr">
        <is>
          <t>AUD-07</t>
        </is>
      </c>
      <c r="B10" s="3" t="inlineStr">
        <is>
          <t>RFC → prueba</t>
        </is>
      </c>
      <c r="C10" s="3" t="inlineStr">
        <is>
          <t>RFC-C4</t>
        </is>
      </c>
      <c r="D10" s="3" t="inlineStr">
        <is>
          <t>2 casos de prueba propuestos sin implementar (TC-HU09-04, TC-HU06-05).</t>
        </is>
      </c>
      <c r="E10" s="3" t="inlineStr">
        <is>
          <t>Abierto</t>
        </is>
      </c>
      <c r="F10" s="14" t="inlineStr">
        <is>
          <t>Medio</t>
        </is>
      </c>
      <c r="G10" s="3" t="inlineStr">
        <is>
          <t>QA Lead</t>
        </is>
      </c>
      <c r="H10" s="3" t="inlineStr">
        <is>
          <t>Escribirlos al construir el cambio. Plazo: Sprint 4 (26/10/2026 – 06/11/2026).</t>
        </is>
      </c>
    </row>
    <row r="11">
      <c r="A11" s="3" t="inlineStr">
        <is>
          <t>AUD-08</t>
        </is>
      </c>
      <c r="B11" s="3" t="inlineStr">
        <is>
          <t>RFC → prueba</t>
        </is>
      </c>
      <c r="C11" s="3" t="inlineStr">
        <is>
          <t>RFC-B1</t>
        </is>
      </c>
      <c r="D11" s="3" t="inlineStr">
        <is>
          <t>6 casos de prueba propuestos sin implementar (TC-HU06-03, TC-HU07-12, TC-HU07-14, TC-HU08-10, TC-HU11-05, TC-RNF05-03).</t>
        </is>
      </c>
      <c r="E11" s="3" t="inlineStr">
        <is>
          <t>Abierto</t>
        </is>
      </c>
      <c r="F11" s="14" t="inlineStr">
        <is>
          <t>Medio</t>
        </is>
      </c>
      <c r="G11" s="3" t="inlineStr">
        <is>
          <t>QA Lead</t>
        </is>
      </c>
      <c r="H11" s="3" t="inlineStr">
        <is>
          <t>Escribirlos al construir el cambio. Plazo: Sprints 4 a 5 (26/10/2026 – 20/11/2026).</t>
        </is>
      </c>
    </row>
    <row r="12">
      <c r="A12" s="3" t="inlineStr">
        <is>
          <t>AUD-09</t>
        </is>
      </c>
      <c r="B12" s="3" t="inlineStr">
        <is>
          <t>RFC → prueba</t>
        </is>
      </c>
      <c r="C12" s="3" t="inlineStr">
        <is>
          <t>RFC-C2</t>
        </is>
      </c>
      <c r="D12" s="3" t="inlineStr">
        <is>
          <t>4 casos de prueba propuestos sin implementar (TC-HU07-13, TC-HU08-11, TC-REG-01, TC-HU11-06).</t>
        </is>
      </c>
      <c r="E12" s="3" t="inlineStr">
        <is>
          <t>Abierto</t>
        </is>
      </c>
      <c r="F12" s="14" t="inlineStr">
        <is>
          <t>Medio</t>
        </is>
      </c>
      <c r="G12" s="3" t="inlineStr">
        <is>
          <t>QA Lead</t>
        </is>
      </c>
      <c r="H12" s="3" t="inlineStr">
        <is>
          <t>Escribirlos al construir el cambio. Plazo: Sprints 4 a 6 (26/10/2026 – 04/12/2026).</t>
        </is>
      </c>
    </row>
    <row r="13">
      <c r="A13" s="3" t="inlineStr">
        <is>
          <t>AUD-10</t>
        </is>
      </c>
      <c r="B13" s="3" t="inlineStr">
        <is>
          <t>Contradicción entre fuentes</t>
        </is>
      </c>
      <c r="C13" s="3" t="inlineStr">
        <is>
          <t>M-01</t>
        </is>
      </c>
      <c r="D13" s="3" t="inlineStr">
        <is>
          <t>El caso de estudio dice que el resultado nuevo elimina el anterior; el criterio de aceptación de HU-06 lo conserva en el historial. RFC-B1 adopta la versión con historial.</t>
        </is>
      </c>
      <c r="E13" s="3" t="inlineStr">
        <is>
          <t>Cerrado</t>
        </is>
      </c>
      <c r="F13" s="14" t="inlineStr">
        <is>
          <t>Medio</t>
        </is>
      </c>
      <c r="G13" s="3" t="inlineStr">
        <is>
          <t>Analista de requisitos</t>
        </is>
      </c>
      <c r="H13" s="3" t="inlineStr">
        <is>
          <t>Resuelto en RFC-B1 (U3A1) y verificado en la prueba P22.</t>
        </is>
      </c>
    </row>
    <row r="14">
      <c r="A14" s="3" t="inlineStr">
        <is>
          <t>AUD-11</t>
        </is>
      </c>
      <c r="B14" s="3" t="inlineStr">
        <is>
          <t>Requisito → código</t>
        </is>
      </c>
      <c r="C14" s="3" t="inlineStr">
        <is>
          <t>HU-01 Registrar y actualizar tripulantes</t>
        </is>
      </c>
      <c r="D14" s="3" t="inlineStr">
        <is>
          <t>Sin código en el prototipo. Registro administrativo; no cambia la decisión de asignación que valida el prototipo (U3A2, sección 7.1).</t>
        </is>
      </c>
      <c r="E14" s="3" t="inlineStr">
        <is>
          <t>Aceptado (fuera de alcance)</t>
        </is>
      </c>
      <c r="F14" s="14" t="inlineStr">
        <is>
          <t>Medio</t>
        </is>
      </c>
      <c r="G14" s="3" t="inlineStr">
        <is>
          <t>Product Owner</t>
        </is>
      </c>
      <c r="H14" s="3" t="inlineStr">
        <is>
          <t>Planificar su construcción tras el prototipo.</t>
        </is>
      </c>
    </row>
    <row r="15">
      <c r="A15" s="3" t="inlineStr">
        <is>
          <t>AUD-12</t>
        </is>
      </c>
      <c r="B15" s="3" t="inlineStr">
        <is>
          <t>Requisito → código</t>
        </is>
      </c>
      <c r="C15" s="3" t="inlineStr">
        <is>
          <t>HU-02 Registrar y actualizar tripulaciones</t>
        </is>
      </c>
      <c r="D15" s="3" t="inlineStr">
        <is>
          <t>Sin código en el prototipo. Registro administrativo; fuera del alcance del prototipo (U3A2, sección 7.1).</t>
        </is>
      </c>
      <c r="E15" s="3" t="inlineStr">
        <is>
          <t>Aceptado (fuera de alcance)</t>
        </is>
      </c>
      <c r="F15" s="14" t="inlineStr">
        <is>
          <t>Medio</t>
        </is>
      </c>
      <c r="G15" s="3" t="inlineStr">
        <is>
          <t>Product Owner</t>
        </is>
      </c>
      <c r="H15" s="3" t="inlineStr">
        <is>
          <t>Planificar su construcción tras el prototipo.</t>
        </is>
      </c>
    </row>
    <row r="16">
      <c r="A16" s="3" t="inlineStr">
        <is>
          <t>AUD-13</t>
        </is>
      </c>
      <c r="B16" s="3" t="inlineStr">
        <is>
          <t>Requisito → código</t>
        </is>
      </c>
      <c r="C16" s="3" t="inlineStr">
        <is>
          <t>HU-03 Registrar y actualizar vuelos</t>
        </is>
      </c>
      <c r="D16" s="3" t="inlineStr">
        <is>
          <t>Sin código en el prototipo. Registro administrativo; fuera del alcance del prototipo (U3A2, sección 7.1).</t>
        </is>
      </c>
      <c r="E16" s="3" t="inlineStr">
        <is>
          <t>Aceptado (fuera de alcance)</t>
        </is>
      </c>
      <c r="F16" s="14" t="inlineStr">
        <is>
          <t>Medio</t>
        </is>
      </c>
      <c r="G16" s="3" t="inlineStr">
        <is>
          <t>Product Owner</t>
        </is>
      </c>
      <c r="H16" s="3" t="inlineStr">
        <is>
          <t>Planificar su construcción tras el prototipo.</t>
        </is>
      </c>
    </row>
    <row r="17">
      <c r="A17" s="3" t="inlineStr">
        <is>
          <t>AUD-14</t>
        </is>
      </c>
      <c r="B17" s="3" t="inlineStr">
        <is>
          <t>Prueba → requisito</t>
        </is>
      </c>
      <c r="C17" s="3" t="inlineStr">
        <is>
          <t>P19, P20, P26, P27, P28, P30</t>
        </is>
      </c>
      <c r="D17" s="3" t="inlineStr">
        <is>
          <t>Pruebas sin requisito del backlog: consulta de escenarios (P19, P20) y pruebas transversales de defectos y calidad (P26 a P28, P30).</t>
        </is>
      </c>
      <c r="E17" s="3" t="inlineStr">
        <is>
          <t>Abierto</t>
        </is>
      </c>
      <c r="F17" s="4" t="inlineStr">
        <is>
          <t>Bajo</t>
        </is>
      </c>
      <c r="G17" s="3" t="inlineStr">
        <is>
          <t>QA Lead</t>
        </is>
      </c>
      <c r="H17" s="3" t="inlineStr">
        <is>
          <t>Relacionar P19 y P20 con la historia nueva; las demás quedan como pruebas de regresión.</t>
        </is>
      </c>
    </row>
    <row r="18">
      <c r="A18" s="3" t="inlineStr">
        <is>
          <t>AUD-15</t>
        </is>
      </c>
      <c r="B18" s="3" t="inlineStr">
        <is>
          <t>Requisito → código</t>
        </is>
      </c>
      <c r="C18" s="3" t="inlineStr">
        <is>
          <t>HU-09 Alertar simulación anual pendiente</t>
        </is>
      </c>
      <c r="D18" s="3" t="inlineStr">
        <is>
          <t>Sin código en el prototipo. Alerta de simulación anual; requiere calendario y notificaciones (RFC-A3, CCB 13/10/2026).</t>
        </is>
      </c>
      <c r="E18" s="3" t="inlineStr">
        <is>
          <t>Aceptado (fuera de alcance)</t>
        </is>
      </c>
      <c r="F18" s="4" t="inlineStr">
        <is>
          <t>Bajo</t>
        </is>
      </c>
      <c r="G18" s="3" t="inlineStr">
        <is>
          <t>Product Owner</t>
        </is>
      </c>
      <c r="H18" s="3" t="inlineStr">
        <is>
          <t>Planificar su construcción tras el prototipo.</t>
        </is>
      </c>
    </row>
    <row r="19">
      <c r="A19" s="3" t="inlineStr">
        <is>
          <t>AUD-16</t>
        </is>
      </c>
      <c r="B19" s="3" t="inlineStr">
        <is>
          <t>Requisito → código</t>
        </is>
      </c>
      <c r="C19" s="3" t="inlineStr">
        <is>
          <t>HU-10 Gestionar catálogo de escenarios</t>
        </is>
      </c>
      <c r="D19" s="3" t="inlineStr">
        <is>
          <t>Sin código en el prototipo. Gestión del catálogo; el prototipo trae escenarios fijos.</t>
        </is>
      </c>
      <c r="E19" s="3" t="inlineStr">
        <is>
          <t>Aceptado (fuera de alcance)</t>
        </is>
      </c>
      <c r="F19" s="4" t="inlineStr">
        <is>
          <t>Bajo</t>
        </is>
      </c>
      <c r="G19" s="3" t="inlineStr">
        <is>
          <t>Product Owner</t>
        </is>
      </c>
      <c r="H19" s="3" t="inlineStr">
        <is>
          <t>Planificar su construcción tras el prototipo.</t>
        </is>
      </c>
    </row>
    <row r="20">
      <c r="A20" s="3" t="inlineStr">
        <is>
          <t>AUD-17</t>
        </is>
      </c>
      <c r="B20" s="3" t="inlineStr">
        <is>
          <t>Requisito → código</t>
        </is>
      </c>
      <c r="C20" s="3" t="inlineStr">
        <is>
          <t>HU-11 Reportes históricos de desempeño</t>
        </is>
      </c>
      <c r="D20" s="3" t="inlineStr">
        <is>
          <t>Sin código en el prototipo. Reportes históricos; dependen del histórico de RFC-B1.</t>
        </is>
      </c>
      <c r="E20" s="3" t="inlineStr">
        <is>
          <t>Aceptado (fuera de alcance)</t>
        </is>
      </c>
      <c r="F20" s="4" t="inlineStr">
        <is>
          <t>Bajo</t>
        </is>
      </c>
      <c r="G20" s="3" t="inlineStr">
        <is>
          <t>Product Owner</t>
        </is>
      </c>
      <c r="H20" s="3" t="inlineStr">
        <is>
          <t>Planificar su construcción tras el prototipo.</t>
        </is>
      </c>
    </row>
    <row r="21">
      <c r="A21" s="3" t="inlineStr">
        <is>
          <t>AUD-18</t>
        </is>
      </c>
      <c r="B21" s="3" t="inlineStr">
        <is>
          <t>Requisito → código</t>
        </is>
      </c>
      <c r="C21" s="3" t="inlineStr">
        <is>
          <t>HU-12 Notificación de cambio de asignación</t>
        </is>
      </c>
      <c r="D21" s="3" t="inlineStr">
        <is>
          <t>Sin código en el prototipo. Notificaciones; dependen de RFC-A2 (Sprint 5).</t>
        </is>
      </c>
      <c r="E21" s="3" t="inlineStr">
        <is>
          <t>Aceptado (fuera de alcance)</t>
        </is>
      </c>
      <c r="F21" s="4" t="inlineStr">
        <is>
          <t>Bajo</t>
        </is>
      </c>
      <c r="G21" s="3" t="inlineStr">
        <is>
          <t>Product Owner</t>
        </is>
      </c>
      <c r="H21" s="3" t="inlineStr">
        <is>
          <t>Planificar su construcción tras el prototipo.</t>
        </is>
      </c>
    </row>
    <row r="22">
      <c r="A22" s="3" t="inlineStr">
        <is>
          <t>AUD-19</t>
        </is>
      </c>
      <c r="B22" s="3" t="inlineStr">
        <is>
          <t>Requisito → código</t>
        </is>
      </c>
      <c r="C22" s="3" t="inlineStr">
        <is>
          <t>RNF-03 Disponibilidad continua</t>
        </is>
      </c>
      <c r="D22" s="3" t="inlineStr">
        <is>
          <t>Sin código en el prototipo. Disponibilidad 24/7; no medible en un prototipo local.</t>
        </is>
      </c>
      <c r="E22" s="3" t="inlineStr">
        <is>
          <t>Aceptado (fuera de alcance)</t>
        </is>
      </c>
      <c r="F22" s="4" t="inlineStr">
        <is>
          <t>Bajo</t>
        </is>
      </c>
      <c r="G22" s="3" t="inlineStr">
        <is>
          <t>Product Owner</t>
        </is>
      </c>
      <c r="H22" s="3" t="inlineStr">
        <is>
          <t>Planificar su construcción tras el prototipo.</t>
        </is>
      </c>
    </row>
    <row r="23">
      <c r="A23" s="3" t="inlineStr">
        <is>
          <t>AUD-20</t>
        </is>
      </c>
      <c r="B23" s="3" t="inlineStr">
        <is>
          <t>Requisito → código</t>
        </is>
      </c>
      <c r="C23" s="3" t="inlineStr">
        <is>
          <t>RNF-04 Rendimiento en consultas</t>
        </is>
      </c>
      <c r="D23" s="3" t="inlineStr">
        <is>
          <t>Sin código en el prototipo. Rendimiento; sin backend no hay tiempos reales que medir.</t>
        </is>
      </c>
      <c r="E23" s="3" t="inlineStr">
        <is>
          <t>Aceptado (fuera de alcance)</t>
        </is>
      </c>
      <c r="F23" s="4" t="inlineStr">
        <is>
          <t>Bajo</t>
        </is>
      </c>
      <c r="G23" s="3" t="inlineStr">
        <is>
          <t>Product Owner</t>
        </is>
      </c>
      <c r="H23" s="3" t="inlineStr">
        <is>
          <t>Planificar su construcción tras el prototipo.</t>
        </is>
      </c>
    </row>
    <row r="24">
      <c r="A24" s="3" t="inlineStr">
        <is>
          <t>AUD-21</t>
        </is>
      </c>
      <c r="B24" s="3" t="inlineStr">
        <is>
          <t>Requisito → código</t>
        </is>
      </c>
      <c r="C24" s="3" t="inlineStr">
        <is>
          <t>RNF-05 Integridad de la sincronización con el simulador</t>
        </is>
      </c>
      <c r="D24" s="3" t="inlineStr">
        <is>
          <t>Sin código en el prototipo. Sincronización con el simulador; el simulador es externo y el prototipo no se conecta.</t>
        </is>
      </c>
      <c r="E24" s="3" t="inlineStr">
        <is>
          <t>Aceptado (fuera de alcance)</t>
        </is>
      </c>
      <c r="F24" s="4" t="inlineStr">
        <is>
          <t>Bajo</t>
        </is>
      </c>
      <c r="G24" s="3" t="inlineStr">
        <is>
          <t>Product Owner</t>
        </is>
      </c>
      <c r="H24" s="3" t="inlineStr">
        <is>
          <t>Planificar su construcción tras el prototipo.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2026-10-15T15:51:06Z</dcterms:created>
  <dcterms:modified xmlns:dcterms="http://purl.org/dc/terms/" xmlns:xsi="http://www.w3.org/2001/XMLSchema-instance" xsi:type="dcterms:W3CDTF">2026-10-15T15:51:06Z</dcterms:modified>
</cp:coreProperties>
</file>